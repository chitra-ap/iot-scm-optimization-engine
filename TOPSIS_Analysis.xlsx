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ights" sheetId="1" state="visible" r:id="rId3"/>
    <sheet name="1. Decision Matrix" sheetId="2" state="visible" r:id="rId4"/>
    <sheet name="2. Normalized Matrix" sheetId="3" state="visible" r:id="rId5"/>
    <sheet name="3. Weighted Normalized" sheetId="4" state="visible" r:id="rId6"/>
    <sheet name="4. Ideal Solutions" sheetId="5" state="visible" r:id="rId7"/>
    <sheet name="5. Separation Measures" sheetId="6" state="visible" r:id="rId8"/>
    <sheet name="6. Final Rank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<sst xmlns="http://schemas.openxmlformats.org/spreadsheetml/2006/main" count="153" uniqueCount="52">
  <si>
    <t xml:space="preserve">Criteria Weights and Type (Benefit / Cost) used in TOPSIS</t>
  </si>
  <si>
    <t xml:space="preserve">Criterion</t>
  </si>
  <si>
    <t xml:space="preserve">Weight</t>
  </si>
  <si>
    <t xml:space="preserve">Type</t>
  </si>
  <si>
    <t xml:space="preserve">Ideal-Best Rule</t>
  </si>
  <si>
    <t xml:space="preserve">Cost</t>
  </si>
  <si>
    <t xml:space="preserve">MIN = best (lower cost preferred)</t>
  </si>
  <si>
    <t xml:space="preserve">Reliability</t>
  </si>
  <si>
    <t xml:space="preserve">Benefit</t>
  </si>
  <si>
    <t xml:space="preserve">MAX = best (higher is preferred)</t>
  </si>
  <si>
    <t xml:space="preserve">Ease of implementation</t>
  </si>
  <si>
    <t xml:space="preserve">Compatibility</t>
  </si>
  <si>
    <t xml:space="preserve">Real time information</t>
  </si>
  <si>
    <t xml:space="preserve">Efficiency</t>
  </si>
  <si>
    <t xml:space="preserve">Risk Reduction</t>
  </si>
  <si>
    <t xml:space="preserve">Sustainability</t>
  </si>
  <si>
    <t xml:space="preserve">Total</t>
  </si>
  <si>
    <t xml:space="preserve">TOPSIS Step 0 — Decision Matrix (25 IoT Tool × SCM Technique combinations × 8 criteria)</t>
  </si>
  <si>
    <t xml:space="preserve">Values are mean scores (scale 1–5) from the 58-expert integrated IoT–SCM assessment.</t>
  </si>
  <si>
    <t xml:space="preserve">No.</t>
  </si>
  <si>
    <t xml:space="preserve">IoT Tool</t>
  </si>
  <si>
    <t xml:space="preserve">SCM Technique</t>
  </si>
  <si>
    <t xml:space="preserve">IoT Sensors</t>
  </si>
  <si>
    <t xml:space="preserve">Procurement Management</t>
  </si>
  <si>
    <t xml:space="preserve">Inventory Management</t>
  </si>
  <si>
    <t xml:space="preserve">Logistics Management</t>
  </si>
  <si>
    <t xml:space="preserve">Supplier Management</t>
  </si>
  <si>
    <t xml:space="preserve">Just-in-Time</t>
  </si>
  <si>
    <t xml:space="preserve">RFID</t>
  </si>
  <si>
    <t xml:space="preserve">GPS</t>
  </si>
  <si>
    <t xml:space="preserve">BIM-IoT integration</t>
  </si>
  <si>
    <t xml:space="preserve">Cloud computing</t>
  </si>
  <si>
    <t xml:space="preserve">TOPSIS Step 1 — Vector-Normalized Decision Matrix</t>
  </si>
  <si>
    <t xml:space="preserve">r_ij = x_ij / SQRT(SUM(x_ij^2)) for each criterion column j, computed across all 25 alternatives.</t>
  </si>
  <si>
    <t xml:space="preserve">TOPSIS Step 2 — Weighted Normalized Matrix</t>
  </si>
  <si>
    <t xml:space="preserve">v_ij = w_j × r_ij, using the criteria weights on the 'Weights' sheet.</t>
  </si>
  <si>
    <t xml:space="preserve">TOPSIS Step 3 — Positive Ideal (A+) and Negative Ideal (A-) Solutions</t>
  </si>
  <si>
    <t xml:space="preserve">Benefit criteria: A+ = column MAX, A- = column MIN.  Cost criteria: A+ = column MIN, A- = column MAX.</t>
  </si>
  <si>
    <t xml:space="preserve">Solution</t>
  </si>
  <si>
    <t xml:space="preserve">A+ (Positive Ideal)</t>
  </si>
  <si>
    <t xml:space="preserve">A- (Negative Ideal)</t>
  </si>
  <si>
    <t xml:space="preserve">TOPSIS Step 4 — Separation Measures from Ideal Solutions</t>
  </si>
  <si>
    <t xml:space="preserve">S+ = Euclidean distance to A+ (positive ideal).  S- = Euclidean distance to A- (negative ideal).</t>
  </si>
  <si>
    <t xml:space="preserve">S+ (distance to ideal best)</t>
  </si>
  <si>
    <t xml:space="preserve">S- (distance to ideal worst)</t>
  </si>
  <si>
    <t xml:space="preserve">TOPSIS Step 5 — Relative Closeness Coefficient (C*) and Final Ranking</t>
  </si>
  <si>
    <t xml:space="preserve">C*_i = S- / (S+ + S-).  Higher C* = closer to the ideal solution = better rank (Rank 1 = best).</t>
  </si>
  <si>
    <t xml:space="preserve">S+</t>
  </si>
  <si>
    <t xml:space="preserve">S-</t>
  </si>
  <si>
    <t xml:space="preserve">Closeness Coefficient (C*)</t>
  </si>
  <si>
    <t xml:space="preserve">Rank</t>
  </si>
  <si>
    <t xml:space="preserve">Final Ranking (Sorted, Best to Worst)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</si>
</sst>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CCFFFF"/>
      </patternFill>
    </fill>
    <fill>
      <patternFill patternType="solid">
        <fgColor rgb="FFF4CCCC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0.108044207400891</v>
      </c>
      <c r="C4" s="3" t="s">
        <v>5</v>
      </c>
      <c r="D4" s="3" t="s">
        <v>6</v>
      </c>
    </row>
    <row r="5" customFormat="false" ht="15" hidden="false" customHeight="false" outlineLevel="0" collapsed="false">
      <c r="A5" s="3" t="s">
        <v>7</v>
      </c>
      <c r="B5" s="4" t="n">
        <v>0.128113487656018</v>
      </c>
      <c r="C5" s="3" t="s">
        <v>8</v>
      </c>
      <c r="D5" s="3" t="s">
        <v>9</v>
      </c>
    </row>
    <row r="6" customFormat="false" ht="15" hidden="false" customHeight="false" outlineLevel="0" collapsed="false">
      <c r="A6" s="3" t="s">
        <v>10</v>
      </c>
      <c r="B6" s="4" t="n">
        <v>0.122670039038874</v>
      </c>
      <c r="C6" s="3" t="s">
        <v>8</v>
      </c>
      <c r="D6" s="3" t="s">
        <v>9</v>
      </c>
    </row>
    <row r="7" customFormat="false" ht="15" hidden="false" customHeight="false" outlineLevel="0" collapsed="false">
      <c r="A7" s="3" t="s">
        <v>11</v>
      </c>
      <c r="B7" s="4" t="n">
        <v>0.127123769725628</v>
      </c>
      <c r="C7" s="3" t="s">
        <v>8</v>
      </c>
      <c r="D7" s="3" t="s">
        <v>9</v>
      </c>
    </row>
    <row r="8" customFormat="false" ht="15" hidden="false" customHeight="false" outlineLevel="0" collapsed="false">
      <c r="A8" s="3" t="s">
        <v>12</v>
      </c>
      <c r="B8" s="4" t="n">
        <v>0.12921317424534</v>
      </c>
      <c r="C8" s="3" t="s">
        <v>8</v>
      </c>
      <c r="D8" s="3" t="s">
        <v>9</v>
      </c>
    </row>
    <row r="9" customFormat="false" ht="15" hidden="false" customHeight="false" outlineLevel="0" collapsed="false">
      <c r="A9" s="3" t="s">
        <v>13</v>
      </c>
      <c r="B9" s="4" t="n">
        <v>0.130532798152527</v>
      </c>
      <c r="C9" s="3" t="s">
        <v>8</v>
      </c>
      <c r="D9" s="3" t="s">
        <v>9</v>
      </c>
    </row>
    <row r="10" customFormat="false" ht="15" hidden="false" customHeight="false" outlineLevel="0" collapsed="false">
      <c r="A10" s="3" t="s">
        <v>14</v>
      </c>
      <c r="B10" s="4" t="n">
        <v>0.126299004783637</v>
      </c>
      <c r="C10" s="3" t="s">
        <v>8</v>
      </c>
      <c r="D10" s="3" t="s">
        <v>9</v>
      </c>
    </row>
    <row r="11" customFormat="false" ht="15" hidden="false" customHeight="false" outlineLevel="0" collapsed="false">
      <c r="A11" s="3" t="s">
        <v>15</v>
      </c>
      <c r="B11" s="4" t="n">
        <v>0.128003518997086</v>
      </c>
      <c r="C11" s="3" t="s">
        <v>8</v>
      </c>
      <c r="D11" s="3" t="s">
        <v>9</v>
      </c>
    </row>
    <row r="12" customFormat="false" ht="15" hidden="false" customHeight="false" outlineLevel="0" collapsed="false">
      <c r="A12" s="5" t="s">
        <v>16</v>
      </c>
      <c r="B12" s="6" t="n">
        <f aca="false">SUM(B4:B11)</f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11" min="4" style="0" width="12"/>
  </cols>
  <sheetData>
    <row r="1" customFormat="false" ht="16.15" hidden="false" customHeight="false" outlineLevel="0" collapsed="false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7" t="s">
        <v>18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35.05" hidden="false" customHeight="false" outlineLevel="0" collapsed="false">
      <c r="A4" s="8" t="s">
        <v>19</v>
      </c>
      <c r="B4" s="8" t="s">
        <v>20</v>
      </c>
      <c r="C4" s="8" t="s">
        <v>21</v>
      </c>
      <c r="D4" s="8" t="s">
        <v>5</v>
      </c>
      <c r="E4" s="8" t="s">
        <v>7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</row>
    <row r="5" customFormat="false" ht="15" hidden="false" customHeight="false" outlineLevel="0" collapsed="false">
      <c r="A5" s="3" t="n">
        <v>1</v>
      </c>
      <c r="B5" s="3" t="s">
        <v>22</v>
      </c>
      <c r="C5" s="3" t="s">
        <v>23</v>
      </c>
      <c r="D5" s="4" t="n">
        <v>3.32758620689655</v>
      </c>
      <c r="E5" s="4" t="n">
        <v>3.95689655172414</v>
      </c>
      <c r="F5" s="4" t="n">
        <v>3.90517241379311</v>
      </c>
      <c r="G5" s="4" t="n">
        <v>3.92241379310345</v>
      </c>
      <c r="H5" s="4" t="n">
        <v>3.85344827586207</v>
      </c>
      <c r="I5" s="4" t="n">
        <v>3.98275862068966</v>
      </c>
      <c r="J5" s="4" t="n">
        <v>3.93103448275862</v>
      </c>
      <c r="K5" s="4" t="n">
        <v>3.87068965517242</v>
      </c>
    </row>
    <row r="6" customFormat="false" ht="15" hidden="false" customHeight="false" outlineLevel="0" collapsed="false">
      <c r="A6" s="3" t="n">
        <v>2</v>
      </c>
      <c r="B6" s="3" t="s">
        <v>22</v>
      </c>
      <c r="C6" s="3" t="s">
        <v>24</v>
      </c>
      <c r="D6" s="4" t="n">
        <v>3.3448275862069</v>
      </c>
      <c r="E6" s="4" t="n">
        <v>4.01724137931035</v>
      </c>
      <c r="F6" s="4" t="n">
        <v>3.88793103448276</v>
      </c>
      <c r="G6" s="4" t="n">
        <v>3.99137931034483</v>
      </c>
      <c r="H6" s="4" t="n">
        <v>4.05172413793104</v>
      </c>
      <c r="I6" s="4" t="n">
        <v>4.07758620689656</v>
      </c>
      <c r="J6" s="4" t="n">
        <v>4</v>
      </c>
      <c r="K6" s="4" t="n">
        <v>3.98275862068966</v>
      </c>
    </row>
    <row r="7" customFormat="false" ht="15" hidden="false" customHeight="false" outlineLevel="0" collapsed="false">
      <c r="A7" s="3" t="n">
        <v>3</v>
      </c>
      <c r="B7" s="3" t="s">
        <v>22</v>
      </c>
      <c r="C7" s="3" t="s">
        <v>25</v>
      </c>
      <c r="D7" s="4" t="n">
        <v>3.28448275862069</v>
      </c>
      <c r="E7" s="4" t="n">
        <v>4.02586206896552</v>
      </c>
      <c r="F7" s="4" t="n">
        <v>3.89655172413793</v>
      </c>
      <c r="G7" s="4" t="n">
        <v>3.92241379310345</v>
      </c>
      <c r="H7" s="4" t="n">
        <v>4.08620689655173</v>
      </c>
      <c r="I7" s="4" t="n">
        <v>4.05172413793104</v>
      </c>
      <c r="J7" s="4" t="n">
        <v>3.98275862068966</v>
      </c>
      <c r="K7" s="4" t="n">
        <v>3.90517241379311</v>
      </c>
    </row>
    <row r="8" customFormat="false" ht="15" hidden="false" customHeight="false" outlineLevel="0" collapsed="false">
      <c r="A8" s="3" t="n">
        <v>4</v>
      </c>
      <c r="B8" s="3" t="s">
        <v>22</v>
      </c>
      <c r="C8" s="3" t="s">
        <v>26</v>
      </c>
      <c r="D8" s="4" t="n">
        <v>3.33620689655172</v>
      </c>
      <c r="E8" s="4" t="n">
        <v>3.98275862068966</v>
      </c>
      <c r="F8" s="4" t="n">
        <v>3.93103448275862</v>
      </c>
      <c r="G8" s="4" t="n">
        <v>3.93103448275862</v>
      </c>
      <c r="H8" s="4" t="n">
        <v>3.96551724137931</v>
      </c>
      <c r="I8" s="4" t="n">
        <v>3.99137931034483</v>
      </c>
      <c r="J8" s="4" t="n">
        <v>3.9396551724138</v>
      </c>
      <c r="K8" s="4" t="n">
        <v>3.92241379310345</v>
      </c>
    </row>
    <row r="9" customFormat="false" ht="15" hidden="false" customHeight="false" outlineLevel="0" collapsed="false">
      <c r="A9" s="3" t="n">
        <v>5</v>
      </c>
      <c r="B9" s="3" t="s">
        <v>22</v>
      </c>
      <c r="C9" s="3" t="s">
        <v>27</v>
      </c>
      <c r="D9" s="4" t="n">
        <v>3.37931034482759</v>
      </c>
      <c r="E9" s="4" t="n">
        <v>3.97413793103449</v>
      </c>
      <c r="F9" s="4" t="n">
        <v>3.78448275862069</v>
      </c>
      <c r="G9" s="4" t="n">
        <v>3.87068965517242</v>
      </c>
      <c r="H9" s="4" t="n">
        <v>4.11206896551724</v>
      </c>
      <c r="I9" s="4" t="n">
        <v>4</v>
      </c>
      <c r="J9" s="4" t="n">
        <v>3.96551724137931</v>
      </c>
      <c r="K9" s="4" t="n">
        <v>4.00862068965517</v>
      </c>
    </row>
    <row r="10" customFormat="false" ht="15" hidden="false" customHeight="false" outlineLevel="0" collapsed="false">
      <c r="A10" s="3" t="n">
        <v>6</v>
      </c>
      <c r="B10" s="3" t="s">
        <v>28</v>
      </c>
      <c r="C10" s="3" t="s">
        <v>23</v>
      </c>
      <c r="D10" s="4" t="n">
        <v>3.57758620689655</v>
      </c>
      <c r="E10" s="4" t="n">
        <v>3.95689655172414</v>
      </c>
      <c r="F10" s="4" t="n">
        <v>3.96551724137932</v>
      </c>
      <c r="G10" s="4" t="n">
        <v>3.96551724137932</v>
      </c>
      <c r="H10" s="4" t="n">
        <v>3.85344827586207</v>
      </c>
      <c r="I10" s="4" t="n">
        <v>4.04310344827587</v>
      </c>
      <c r="J10" s="4" t="n">
        <v>3.94827586206897</v>
      </c>
      <c r="K10" s="4" t="n">
        <v>3.95689655172414</v>
      </c>
    </row>
    <row r="11" customFormat="false" ht="15" hidden="false" customHeight="false" outlineLevel="0" collapsed="false">
      <c r="A11" s="3" t="n">
        <v>7</v>
      </c>
      <c r="B11" s="3" t="s">
        <v>28</v>
      </c>
      <c r="C11" s="3" t="s">
        <v>24</v>
      </c>
      <c r="D11" s="4" t="n">
        <v>3.5948275862069</v>
      </c>
      <c r="E11" s="4" t="n">
        <v>4.01724137931035</v>
      </c>
      <c r="F11" s="4" t="n">
        <v>3.94827586206897</v>
      </c>
      <c r="G11" s="4" t="n">
        <v>4.03448275862069</v>
      </c>
      <c r="H11" s="4" t="n">
        <v>4.05172413793104</v>
      </c>
      <c r="I11" s="4" t="n">
        <v>4.13793103448276</v>
      </c>
      <c r="J11" s="4" t="n">
        <v>4.01724137931035</v>
      </c>
      <c r="K11" s="4" t="n">
        <v>4.06896551724138</v>
      </c>
    </row>
    <row r="12" customFormat="false" ht="15" hidden="false" customHeight="false" outlineLevel="0" collapsed="false">
      <c r="A12" s="3" t="n">
        <v>8</v>
      </c>
      <c r="B12" s="3" t="s">
        <v>28</v>
      </c>
      <c r="C12" s="3" t="s">
        <v>25</v>
      </c>
      <c r="D12" s="4" t="n">
        <v>3.53448275862069</v>
      </c>
      <c r="E12" s="4" t="n">
        <v>4.02586206896552</v>
      </c>
      <c r="F12" s="4" t="n">
        <v>3.95689655172414</v>
      </c>
      <c r="G12" s="4" t="n">
        <v>3.96551724137932</v>
      </c>
      <c r="H12" s="4" t="n">
        <v>4.08620689655173</v>
      </c>
      <c r="I12" s="4" t="n">
        <v>4.11206896551724</v>
      </c>
      <c r="J12" s="4" t="n">
        <v>4</v>
      </c>
      <c r="K12" s="4" t="n">
        <v>3.99137931034483</v>
      </c>
    </row>
    <row r="13" customFormat="false" ht="15" hidden="false" customHeight="false" outlineLevel="0" collapsed="false">
      <c r="A13" s="3" t="n">
        <v>9</v>
      </c>
      <c r="B13" s="3" t="s">
        <v>28</v>
      </c>
      <c r="C13" s="3" t="s">
        <v>26</v>
      </c>
      <c r="D13" s="4" t="n">
        <v>3.58620689655172</v>
      </c>
      <c r="E13" s="4" t="n">
        <v>3.98275862068966</v>
      </c>
      <c r="F13" s="4" t="n">
        <v>3.99137931034483</v>
      </c>
      <c r="G13" s="4" t="n">
        <v>3.97413793103449</v>
      </c>
      <c r="H13" s="4" t="n">
        <v>3.96551724137931</v>
      </c>
      <c r="I13" s="4" t="n">
        <v>4.05172413793104</v>
      </c>
      <c r="J13" s="4" t="n">
        <v>3.95689655172414</v>
      </c>
      <c r="K13" s="4" t="n">
        <v>4.00862068965517</v>
      </c>
    </row>
    <row r="14" customFormat="false" ht="15" hidden="false" customHeight="false" outlineLevel="0" collapsed="false">
      <c r="A14" s="3" t="n">
        <v>10</v>
      </c>
      <c r="B14" s="3" t="s">
        <v>28</v>
      </c>
      <c r="C14" s="3" t="s">
        <v>27</v>
      </c>
      <c r="D14" s="4" t="n">
        <v>3.62931034482759</v>
      </c>
      <c r="E14" s="4" t="n">
        <v>3.97413793103449</v>
      </c>
      <c r="F14" s="4" t="n">
        <v>3.8448275862069</v>
      </c>
      <c r="G14" s="4" t="n">
        <v>3.91379310344828</v>
      </c>
      <c r="H14" s="4" t="n">
        <v>4.11206896551724</v>
      </c>
      <c r="I14" s="4" t="n">
        <v>4.06034482758621</v>
      </c>
      <c r="J14" s="4" t="n">
        <v>3.98275862068966</v>
      </c>
      <c r="K14" s="4" t="n">
        <v>4.0948275862069</v>
      </c>
    </row>
    <row r="15" customFormat="false" ht="15" hidden="false" customHeight="false" outlineLevel="0" collapsed="false">
      <c r="A15" s="3" t="n">
        <v>11</v>
      </c>
      <c r="B15" s="3" t="s">
        <v>29</v>
      </c>
      <c r="C15" s="3" t="s">
        <v>23</v>
      </c>
      <c r="D15" s="4" t="n">
        <v>3.51724137931035</v>
      </c>
      <c r="E15" s="4" t="n">
        <v>4.06034482758621</v>
      </c>
      <c r="F15" s="4" t="n">
        <v>3.99137931034483</v>
      </c>
      <c r="G15" s="4" t="n">
        <v>3.96551724137932</v>
      </c>
      <c r="H15" s="4" t="n">
        <v>3.91379310344828</v>
      </c>
      <c r="I15" s="4" t="n">
        <v>4.06896551724138</v>
      </c>
      <c r="J15" s="4" t="n">
        <v>3.90517241379311</v>
      </c>
      <c r="K15" s="4" t="n">
        <v>3.95689655172414</v>
      </c>
    </row>
    <row r="16" customFormat="false" ht="15" hidden="false" customHeight="false" outlineLevel="0" collapsed="false">
      <c r="A16" s="3" t="n">
        <v>12</v>
      </c>
      <c r="B16" s="3" t="s">
        <v>29</v>
      </c>
      <c r="C16" s="3" t="s">
        <v>24</v>
      </c>
      <c r="D16" s="4" t="n">
        <v>3.53448275862069</v>
      </c>
      <c r="E16" s="4" t="n">
        <v>4.12068965517242</v>
      </c>
      <c r="F16" s="4" t="n">
        <v>3.97413793103449</v>
      </c>
      <c r="G16" s="4" t="n">
        <v>4.03448275862069</v>
      </c>
      <c r="H16" s="4" t="n">
        <v>4.11206896551724</v>
      </c>
      <c r="I16" s="4" t="n">
        <v>4.16379310344828</v>
      </c>
      <c r="J16" s="4" t="n">
        <v>3.97413793103449</v>
      </c>
      <c r="K16" s="4" t="n">
        <v>4.06896551724138</v>
      </c>
    </row>
    <row r="17" customFormat="false" ht="15" hidden="false" customHeight="false" outlineLevel="0" collapsed="false">
      <c r="A17" s="3" t="n">
        <v>13</v>
      </c>
      <c r="B17" s="3" t="s">
        <v>29</v>
      </c>
      <c r="C17" s="3" t="s">
        <v>25</v>
      </c>
      <c r="D17" s="4" t="n">
        <v>3.47413793103448</v>
      </c>
      <c r="E17" s="4" t="n">
        <v>4.12931034482759</v>
      </c>
      <c r="F17" s="4" t="n">
        <v>3.98275862068966</v>
      </c>
      <c r="G17" s="4" t="n">
        <v>3.96551724137932</v>
      </c>
      <c r="H17" s="4" t="n">
        <v>4.14655172413793</v>
      </c>
      <c r="I17" s="4" t="n">
        <v>4.13793103448275</v>
      </c>
      <c r="J17" s="4" t="n">
        <v>3.95689655172414</v>
      </c>
      <c r="K17" s="4" t="n">
        <v>3.99137931034483</v>
      </c>
    </row>
    <row r="18" customFormat="false" ht="15" hidden="false" customHeight="false" outlineLevel="0" collapsed="false">
      <c r="A18" s="3" t="n">
        <v>14</v>
      </c>
      <c r="B18" s="3" t="s">
        <v>29</v>
      </c>
      <c r="C18" s="3" t="s">
        <v>26</v>
      </c>
      <c r="D18" s="4" t="n">
        <v>3.52586206896552</v>
      </c>
      <c r="E18" s="4" t="n">
        <v>4.08620689655173</v>
      </c>
      <c r="F18" s="4" t="n">
        <v>4.01724137931035</v>
      </c>
      <c r="G18" s="4" t="n">
        <v>3.97413793103449</v>
      </c>
      <c r="H18" s="4" t="n">
        <v>4.02586206896552</v>
      </c>
      <c r="I18" s="4" t="n">
        <v>4.07758620689655</v>
      </c>
      <c r="J18" s="4" t="n">
        <v>3.91379310344828</v>
      </c>
      <c r="K18" s="4" t="n">
        <v>4.00862068965517</v>
      </c>
    </row>
    <row r="19" customFormat="false" ht="15" hidden="false" customHeight="false" outlineLevel="0" collapsed="false">
      <c r="A19" s="3" t="n">
        <v>15</v>
      </c>
      <c r="B19" s="3" t="s">
        <v>29</v>
      </c>
      <c r="C19" s="3" t="s">
        <v>27</v>
      </c>
      <c r="D19" s="4" t="n">
        <v>3.56896551724138</v>
      </c>
      <c r="E19" s="4" t="n">
        <v>4.07758620689656</v>
      </c>
      <c r="F19" s="4" t="n">
        <v>3.87068965517242</v>
      </c>
      <c r="G19" s="4" t="n">
        <v>3.91379310344828</v>
      </c>
      <c r="H19" s="4" t="n">
        <v>4.17241379310345</v>
      </c>
      <c r="I19" s="4" t="n">
        <v>4.08620689655172</v>
      </c>
      <c r="J19" s="4" t="n">
        <v>3.9396551724138</v>
      </c>
      <c r="K19" s="4" t="n">
        <v>4.0948275862069</v>
      </c>
    </row>
    <row r="20" customFormat="false" ht="15" hidden="false" customHeight="false" outlineLevel="0" collapsed="false">
      <c r="A20" s="3" t="n">
        <v>16</v>
      </c>
      <c r="B20" s="3" t="s">
        <v>30</v>
      </c>
      <c r="C20" s="3" t="s">
        <v>23</v>
      </c>
      <c r="D20" s="4" t="n">
        <v>3.25862068965518</v>
      </c>
      <c r="E20" s="4" t="n">
        <v>3.97413793103449</v>
      </c>
      <c r="F20" s="4" t="n">
        <v>3.64655172413794</v>
      </c>
      <c r="G20" s="4" t="n">
        <v>4.03448275862069</v>
      </c>
      <c r="H20" s="4" t="n">
        <v>3.90517241379311</v>
      </c>
      <c r="I20" s="4" t="n">
        <v>4.12068965517242</v>
      </c>
      <c r="J20" s="4" t="n">
        <v>3.9396551724138</v>
      </c>
      <c r="K20" s="4" t="n">
        <v>4</v>
      </c>
    </row>
    <row r="21" customFormat="false" ht="15" hidden="false" customHeight="false" outlineLevel="0" collapsed="false">
      <c r="A21" s="3" t="n">
        <v>17</v>
      </c>
      <c r="B21" s="3" t="s">
        <v>30</v>
      </c>
      <c r="C21" s="3" t="s">
        <v>24</v>
      </c>
      <c r="D21" s="4" t="n">
        <v>3.27586206896552</v>
      </c>
      <c r="E21" s="4" t="n">
        <v>4.03448275862069</v>
      </c>
      <c r="F21" s="4" t="n">
        <v>3.62931034482759</v>
      </c>
      <c r="G21" s="4" t="n">
        <v>4.10344827586207</v>
      </c>
      <c r="H21" s="4" t="n">
        <v>4.10344827586207</v>
      </c>
      <c r="I21" s="4" t="n">
        <v>4.21551724137931</v>
      </c>
      <c r="J21" s="4" t="n">
        <v>4.00862068965518</v>
      </c>
      <c r="K21" s="4" t="n">
        <v>4.11206896551724</v>
      </c>
    </row>
    <row r="22" customFormat="false" ht="15" hidden="false" customHeight="false" outlineLevel="0" collapsed="false">
      <c r="A22" s="3" t="n">
        <v>18</v>
      </c>
      <c r="B22" s="3" t="s">
        <v>30</v>
      </c>
      <c r="C22" s="3" t="s">
        <v>25</v>
      </c>
      <c r="D22" s="4" t="n">
        <v>3.21551724137931</v>
      </c>
      <c r="E22" s="4" t="n">
        <v>4.04310344827586</v>
      </c>
      <c r="F22" s="4" t="n">
        <v>3.63793103448276</v>
      </c>
      <c r="G22" s="4" t="n">
        <v>4.03448275862069</v>
      </c>
      <c r="H22" s="4" t="n">
        <v>4.13793103448276</v>
      </c>
      <c r="I22" s="4" t="n">
        <v>4.18965517241379</v>
      </c>
      <c r="J22" s="4" t="n">
        <v>3.99137931034483</v>
      </c>
      <c r="K22" s="4" t="n">
        <v>4.03448275862069</v>
      </c>
    </row>
    <row r="23" customFormat="false" ht="15" hidden="false" customHeight="false" outlineLevel="0" collapsed="false">
      <c r="A23" s="3" t="n">
        <v>19</v>
      </c>
      <c r="B23" s="3" t="s">
        <v>30</v>
      </c>
      <c r="C23" s="3" t="s">
        <v>26</v>
      </c>
      <c r="D23" s="4" t="n">
        <v>3.26724137931035</v>
      </c>
      <c r="E23" s="4" t="n">
        <v>4</v>
      </c>
      <c r="F23" s="4" t="n">
        <v>3.67241379310345</v>
      </c>
      <c r="G23" s="4" t="n">
        <v>4.04310344827586</v>
      </c>
      <c r="H23" s="4" t="n">
        <v>4.01724137931035</v>
      </c>
      <c r="I23" s="4" t="n">
        <v>4.12931034482759</v>
      </c>
      <c r="J23" s="4" t="n">
        <v>3.94827586206897</v>
      </c>
      <c r="K23" s="4" t="n">
        <v>4.05172413793104</v>
      </c>
    </row>
    <row r="24" customFormat="false" ht="15" hidden="false" customHeight="false" outlineLevel="0" collapsed="false">
      <c r="A24" s="3" t="n">
        <v>20</v>
      </c>
      <c r="B24" s="3" t="s">
        <v>30</v>
      </c>
      <c r="C24" s="3" t="s">
        <v>27</v>
      </c>
      <c r="D24" s="4" t="n">
        <v>3.31034482758621</v>
      </c>
      <c r="E24" s="4" t="n">
        <v>3.99137931034483</v>
      </c>
      <c r="F24" s="4" t="n">
        <v>3.52586206896552</v>
      </c>
      <c r="G24" s="4" t="n">
        <v>3.98275862068966</v>
      </c>
      <c r="H24" s="4" t="n">
        <v>4.16379310344828</v>
      </c>
      <c r="I24" s="4" t="n">
        <v>4.13793103448275</v>
      </c>
      <c r="J24" s="4" t="n">
        <v>3.97413793103449</v>
      </c>
      <c r="K24" s="4" t="n">
        <v>4.13793103448275</v>
      </c>
    </row>
    <row r="25" customFormat="false" ht="15" hidden="false" customHeight="false" outlineLevel="0" collapsed="false">
      <c r="A25" s="3" t="n">
        <v>21</v>
      </c>
      <c r="B25" s="3" t="s">
        <v>31</v>
      </c>
      <c r="C25" s="3" t="s">
        <v>23</v>
      </c>
      <c r="D25" s="4" t="n">
        <v>3.22413793103449</v>
      </c>
      <c r="E25" s="4" t="n">
        <v>3.96551724137932</v>
      </c>
      <c r="F25" s="4" t="n">
        <v>3.8448275862069</v>
      </c>
      <c r="G25" s="4" t="n">
        <v>4.01724137931035</v>
      </c>
      <c r="H25" s="4" t="n">
        <v>3.93103448275862</v>
      </c>
      <c r="I25" s="4" t="n">
        <v>4.06034482758621</v>
      </c>
      <c r="J25" s="4" t="n">
        <v>3.91379310344828</v>
      </c>
      <c r="K25" s="4" t="n">
        <v>3.94827586206897</v>
      </c>
    </row>
    <row r="26" customFormat="false" ht="15" hidden="false" customHeight="false" outlineLevel="0" collapsed="false">
      <c r="A26" s="3" t="n">
        <v>22</v>
      </c>
      <c r="B26" s="3" t="s">
        <v>31</v>
      </c>
      <c r="C26" s="3" t="s">
        <v>24</v>
      </c>
      <c r="D26" s="4" t="n">
        <v>3.24137931034483</v>
      </c>
      <c r="E26" s="4" t="n">
        <v>4.02586206896552</v>
      </c>
      <c r="F26" s="4" t="n">
        <v>3.82758620689656</v>
      </c>
      <c r="G26" s="4" t="n">
        <v>4.08620689655173</v>
      </c>
      <c r="H26" s="4" t="n">
        <v>4.12931034482759</v>
      </c>
      <c r="I26" s="4" t="n">
        <v>4.15517241379311</v>
      </c>
      <c r="J26" s="4" t="n">
        <v>3.98275862068966</v>
      </c>
      <c r="K26" s="4" t="n">
        <v>4.06034482758621</v>
      </c>
    </row>
    <row r="27" customFormat="false" ht="15" hidden="false" customHeight="false" outlineLevel="0" collapsed="false">
      <c r="A27" s="3" t="n">
        <v>23</v>
      </c>
      <c r="B27" s="3" t="s">
        <v>31</v>
      </c>
      <c r="C27" s="3" t="s">
        <v>25</v>
      </c>
      <c r="D27" s="4" t="n">
        <v>3.18103448275862</v>
      </c>
      <c r="E27" s="4" t="n">
        <v>4.03448275862069</v>
      </c>
      <c r="F27" s="4" t="n">
        <v>3.83620689655173</v>
      </c>
      <c r="G27" s="4" t="n">
        <v>4.01724137931035</v>
      </c>
      <c r="H27" s="4" t="n">
        <v>4.16379310344828</v>
      </c>
      <c r="I27" s="4" t="n">
        <v>4.12931034482759</v>
      </c>
      <c r="J27" s="4" t="n">
        <v>3.96551724137931</v>
      </c>
      <c r="K27" s="4" t="n">
        <v>3.98275862068966</v>
      </c>
    </row>
    <row r="28" customFormat="false" ht="15" hidden="false" customHeight="false" outlineLevel="0" collapsed="false">
      <c r="A28" s="3" t="n">
        <v>24</v>
      </c>
      <c r="B28" s="3" t="s">
        <v>31</v>
      </c>
      <c r="C28" s="3" t="s">
        <v>26</v>
      </c>
      <c r="D28" s="4" t="n">
        <v>3.23275862068966</v>
      </c>
      <c r="E28" s="4" t="n">
        <v>3.99137931034483</v>
      </c>
      <c r="F28" s="4" t="n">
        <v>3.87068965517242</v>
      </c>
      <c r="G28" s="4" t="n">
        <v>4.02586206896552</v>
      </c>
      <c r="H28" s="4" t="n">
        <v>4.04310344827586</v>
      </c>
      <c r="I28" s="4" t="n">
        <v>4.06896551724138</v>
      </c>
      <c r="J28" s="4" t="n">
        <v>3.92241379310345</v>
      </c>
      <c r="K28" s="4" t="n">
        <v>4.00000000000001</v>
      </c>
    </row>
    <row r="29" customFormat="false" ht="15" hidden="false" customHeight="false" outlineLevel="0" collapsed="false">
      <c r="A29" s="3" t="n">
        <v>25</v>
      </c>
      <c r="B29" s="3" t="s">
        <v>31</v>
      </c>
      <c r="C29" s="3" t="s">
        <v>27</v>
      </c>
      <c r="D29" s="4" t="n">
        <v>3.27586206896552</v>
      </c>
      <c r="E29" s="4" t="n">
        <v>3.98275862068966</v>
      </c>
      <c r="F29" s="4" t="n">
        <v>3.72413793103449</v>
      </c>
      <c r="G29" s="4" t="n">
        <v>3.96551724137932</v>
      </c>
      <c r="H29" s="4" t="n">
        <v>4.18965517241379</v>
      </c>
      <c r="I29" s="4" t="n">
        <v>4.07758620689655</v>
      </c>
      <c r="J29" s="4" t="n">
        <v>3.94827586206897</v>
      </c>
      <c r="K29" s="4" t="n">
        <v>4.08620689655173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11" min="4" style="0" width="12"/>
  </cols>
  <sheetData>
    <row r="1" customFormat="false" ht="16.15" hidden="false" customHeight="fals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7" t="s">
        <v>33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35.05" hidden="false" customHeight="false" outlineLevel="0" collapsed="false">
      <c r="A4" s="8" t="s">
        <v>19</v>
      </c>
      <c r="B4" s="8" t="s">
        <v>20</v>
      </c>
      <c r="C4" s="8" t="s">
        <v>21</v>
      </c>
      <c r="D4" s="8" t="s">
        <v>5</v>
      </c>
      <c r="E4" s="8" t="s">
        <v>7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</row>
    <row r="5" customFormat="false" ht="15" hidden="false" customHeight="false" outlineLevel="0" collapsed="false">
      <c r="A5" s="3" t="n">
        <f aca="false">'1. Decision Matrix'!A5</f>
        <v>1</v>
      </c>
      <c r="B5" s="3" t="str">
        <f aca="false">'1. Decision Matrix'!B5</f>
        <v>IoT Sensors</v>
      </c>
      <c r="C5" s="3" t="str">
        <f aca="false">'1. Decision Matrix'!C5</f>
        <v>Procurement Management</v>
      </c>
      <c r="D5" s="4" t="n">
        <f aca="false">'1. Decision Matrix'!D5/SQRT(SUMSQ('1. Decision Matrix'!D$5:D$29))</f>
        <v>0.196259383606282</v>
      </c>
      <c r="E5" s="4" t="n">
        <f aca="false">'1. Decision Matrix'!E5/SQRT(SUMSQ('1. Decision Matrix'!E$5:E$29))</f>
        <v>0.196982102131692</v>
      </c>
      <c r="F5" s="4" t="n">
        <f aca="false">'1. Decision Matrix'!F5/SQRT(SUMSQ('1. Decision Matrix'!F$5:F$29))</f>
        <v>0.202926828376478</v>
      </c>
      <c r="G5" s="4" t="n">
        <f aca="false">'1. Decision Matrix'!G5/SQRT(SUMSQ('1. Decision Matrix'!G$5:G$29))</f>
        <v>0.196780165933268</v>
      </c>
      <c r="H5" s="4" t="n">
        <f aca="false">'1. Decision Matrix'!H5/SQRT(SUMSQ('1. Decision Matrix'!H$5:H$29))</f>
        <v>0.19015540948095</v>
      </c>
      <c r="I5" s="4" t="n">
        <f aca="false">'1. Decision Matrix'!I5/SQRT(SUMSQ('1. Decision Matrix'!I$5:I$29))</f>
        <v>0.194588714925103</v>
      </c>
      <c r="J5" s="4" t="n">
        <f aca="false">'1. Decision Matrix'!J5/SQRT(SUMSQ('1. Decision Matrix'!J$5:J$29))</f>
        <v>0.198513976755953</v>
      </c>
      <c r="K5" s="4" t="n">
        <f aca="false">'1. Decision Matrix'!K5/SQRT(SUMSQ('1. Decision Matrix'!K$5:K$29))</f>
        <v>0.192843477757425</v>
      </c>
    </row>
    <row r="6" customFormat="false" ht="15" hidden="false" customHeight="false" outlineLevel="0" collapsed="false">
      <c r="A6" s="3" t="n">
        <f aca="false">'1. Decision Matrix'!A6</f>
        <v>2</v>
      </c>
      <c r="B6" s="3" t="str">
        <f aca="false">'1. Decision Matrix'!B6</f>
        <v>IoT Sensors</v>
      </c>
      <c r="C6" s="3" t="str">
        <f aca="false">'1. Decision Matrix'!C6</f>
        <v>Inventory Management</v>
      </c>
      <c r="D6" s="4" t="n">
        <f aca="false">'1. Decision Matrix'!D6/SQRT(SUMSQ('1. Decision Matrix'!D$5:D$29))</f>
        <v>0.197276271604242</v>
      </c>
      <c r="E6" s="4" t="n">
        <f aca="false">'1. Decision Matrix'!E6/SQRT(SUMSQ('1. Decision Matrix'!E$5:E$29))</f>
        <v>0.199986186477927</v>
      </c>
      <c r="F6" s="4" t="n">
        <f aca="false">'1. Decision Matrix'!F6/SQRT(SUMSQ('1. Decision Matrix'!F$5:F$29))</f>
        <v>0.202030904189386</v>
      </c>
      <c r="G6" s="4" t="n">
        <f aca="false">'1. Decision Matrix'!G6/SQRT(SUMSQ('1. Decision Matrix'!G$5:G$29))</f>
        <v>0.200240036982644</v>
      </c>
      <c r="H6" s="4" t="n">
        <f aca="false">'1. Decision Matrix'!H6/SQRT(SUMSQ('1. Decision Matrix'!H$5:H$29))</f>
        <v>0.199939692295406</v>
      </c>
      <c r="I6" s="4" t="n">
        <f aca="false">'1. Decision Matrix'!I6/SQRT(SUMSQ('1. Decision Matrix'!I$5:I$29))</f>
        <v>0.199221779566177</v>
      </c>
      <c r="J6" s="4" t="n">
        <f aca="false">'1. Decision Matrix'!J6/SQRT(SUMSQ('1. Decision Matrix'!J$5:J$29))</f>
        <v>0.201996678102549</v>
      </c>
      <c r="K6" s="4" t="n">
        <f aca="false">'1. Decision Matrix'!K6/SQRT(SUMSQ('1. Decision Matrix'!K$5:K$29))</f>
        <v>0.198426919206972</v>
      </c>
    </row>
    <row r="7" customFormat="false" ht="15" hidden="false" customHeight="false" outlineLevel="0" collapsed="false">
      <c r="A7" s="3" t="n">
        <f aca="false">'1. Decision Matrix'!A7</f>
        <v>3</v>
      </c>
      <c r="B7" s="3" t="str">
        <f aca="false">'1. Decision Matrix'!B7</f>
        <v>IoT Sensors</v>
      </c>
      <c r="C7" s="3" t="str">
        <f aca="false">'1. Decision Matrix'!C7</f>
        <v>Logistics Management</v>
      </c>
      <c r="D7" s="4" t="n">
        <f aca="false">'1. Decision Matrix'!D7/SQRT(SUMSQ('1. Decision Matrix'!D$5:D$29))</f>
        <v>0.193717163611381</v>
      </c>
      <c r="E7" s="4" t="n">
        <f aca="false">'1. Decision Matrix'!E7/SQRT(SUMSQ('1. Decision Matrix'!E$5:E$29))</f>
        <v>0.200415341384532</v>
      </c>
      <c r="F7" s="4" t="n">
        <f aca="false">'1. Decision Matrix'!F7/SQRT(SUMSQ('1. Decision Matrix'!F$5:F$29))</f>
        <v>0.202478866282932</v>
      </c>
      <c r="G7" s="4" t="n">
        <f aca="false">'1. Decision Matrix'!G7/SQRT(SUMSQ('1. Decision Matrix'!G$5:G$29))</f>
        <v>0.196780165933268</v>
      </c>
      <c r="H7" s="4" t="n">
        <f aca="false">'1. Decision Matrix'!H7/SQRT(SUMSQ('1. Decision Matrix'!H$5:H$29))</f>
        <v>0.20164130669792</v>
      </c>
      <c r="I7" s="4" t="n">
        <f aca="false">'1. Decision Matrix'!I7/SQRT(SUMSQ('1. Decision Matrix'!I$5:I$29))</f>
        <v>0.197958216482248</v>
      </c>
      <c r="J7" s="4" t="n">
        <f aca="false">'1. Decision Matrix'!J7/SQRT(SUMSQ('1. Decision Matrix'!J$5:J$29))</f>
        <v>0.2011260027659</v>
      </c>
      <c r="K7" s="4" t="n">
        <f aca="false">'1. Decision Matrix'!K7/SQRT(SUMSQ('1. Decision Matrix'!K$5:K$29))</f>
        <v>0.194561459741901</v>
      </c>
    </row>
    <row r="8" customFormat="false" ht="15" hidden="false" customHeight="false" outlineLevel="0" collapsed="false">
      <c r="A8" s="3" t="n">
        <f aca="false">'1. Decision Matrix'!A8</f>
        <v>4</v>
      </c>
      <c r="B8" s="3" t="str">
        <f aca="false">'1. Decision Matrix'!B8</f>
        <v>IoT Sensors</v>
      </c>
      <c r="C8" s="3" t="str">
        <f aca="false">'1. Decision Matrix'!C8</f>
        <v>Supplier Management</v>
      </c>
      <c r="D8" s="4" t="n">
        <f aca="false">'1. Decision Matrix'!D8/SQRT(SUMSQ('1. Decision Matrix'!D$5:D$29))</f>
        <v>0.196767827605262</v>
      </c>
      <c r="E8" s="4" t="n">
        <f aca="false">'1. Decision Matrix'!E8/SQRT(SUMSQ('1. Decision Matrix'!E$5:E$29))</f>
        <v>0.198269566851507</v>
      </c>
      <c r="F8" s="4" t="n">
        <f aca="false">'1. Decision Matrix'!F8/SQRT(SUMSQ('1. Decision Matrix'!F$5:F$29))</f>
        <v>0.204270714657117</v>
      </c>
      <c r="G8" s="4" t="n">
        <f aca="false">'1. Decision Matrix'!G8/SQRT(SUMSQ('1. Decision Matrix'!G$5:G$29))</f>
        <v>0.19721264981444</v>
      </c>
      <c r="H8" s="4" t="n">
        <f aca="false">'1. Decision Matrix'!H8/SQRT(SUMSQ('1. Decision Matrix'!H$5:H$29))</f>
        <v>0.195685656289121</v>
      </c>
      <c r="I8" s="4" t="n">
        <f aca="false">'1. Decision Matrix'!I8/SQRT(SUMSQ('1. Decision Matrix'!I$5:I$29))</f>
        <v>0.195009902619746</v>
      </c>
      <c r="J8" s="4" t="n">
        <f aca="false">'1. Decision Matrix'!J8/SQRT(SUMSQ('1. Decision Matrix'!J$5:J$29))</f>
        <v>0.198949314424278</v>
      </c>
      <c r="K8" s="4" t="n">
        <f aca="false">'1. Decision Matrix'!K8/SQRT(SUMSQ('1. Decision Matrix'!K$5:K$29))</f>
        <v>0.195420450734139</v>
      </c>
    </row>
    <row r="9" customFormat="false" ht="15" hidden="false" customHeight="false" outlineLevel="0" collapsed="false">
      <c r="A9" s="3" t="n">
        <f aca="false">'1. Decision Matrix'!A9</f>
        <v>5</v>
      </c>
      <c r="B9" s="3" t="str">
        <f aca="false">'1. Decision Matrix'!B9</f>
        <v>IoT Sensors</v>
      </c>
      <c r="C9" s="3" t="str">
        <f aca="false">'1. Decision Matrix'!C9</f>
        <v>Just-in-Time</v>
      </c>
      <c r="D9" s="4" t="n">
        <f aca="false">'1. Decision Matrix'!D9/SQRT(SUMSQ('1. Decision Matrix'!D$5:D$29))</f>
        <v>0.199310047600162</v>
      </c>
      <c r="E9" s="4" t="n">
        <f aca="false">'1. Decision Matrix'!E9/SQRT(SUMSQ('1. Decision Matrix'!E$5:E$29))</f>
        <v>0.197840411944902</v>
      </c>
      <c r="F9" s="4" t="n">
        <f aca="false">'1. Decision Matrix'!F9/SQRT(SUMSQ('1. Decision Matrix'!F$5:F$29))</f>
        <v>0.19665535906683</v>
      </c>
      <c r="G9" s="4" t="n">
        <f aca="false">'1. Decision Matrix'!G9/SQRT(SUMSQ('1. Decision Matrix'!G$5:G$29))</f>
        <v>0.194185262646236</v>
      </c>
      <c r="H9" s="4" t="n">
        <f aca="false">'1. Decision Matrix'!H9/SQRT(SUMSQ('1. Decision Matrix'!H$5:H$29))</f>
        <v>0.202917517499805</v>
      </c>
      <c r="I9" s="4" t="n">
        <f aca="false">'1. Decision Matrix'!I9/SQRT(SUMSQ('1. Decision Matrix'!I$5:I$29))</f>
        <v>0.195431090314389</v>
      </c>
      <c r="J9" s="4" t="n">
        <f aca="false">'1. Decision Matrix'!J9/SQRT(SUMSQ('1. Decision Matrix'!J$5:J$29))</f>
        <v>0.200255327429251</v>
      </c>
      <c r="K9" s="4" t="n">
        <f aca="false">'1. Decision Matrix'!K9/SQRT(SUMSQ('1. Decision Matrix'!K$5:K$29))</f>
        <v>0.199715405695329</v>
      </c>
    </row>
    <row r="10" customFormat="false" ht="15" hidden="false" customHeight="false" outlineLevel="0" collapsed="false">
      <c r="A10" s="3" t="n">
        <f aca="false">'1. Decision Matrix'!A10</f>
        <v>6</v>
      </c>
      <c r="B10" s="3" t="str">
        <f aca="false">'1. Decision Matrix'!B10</f>
        <v>RFID</v>
      </c>
      <c r="C10" s="3" t="str">
        <f aca="false">'1. Decision Matrix'!C10</f>
        <v>Procurement Management</v>
      </c>
      <c r="D10" s="4" t="n">
        <f aca="false">'1. Decision Matrix'!D10/SQRT(SUMSQ('1. Decision Matrix'!D$5:D$29))</f>
        <v>0.211004259576702</v>
      </c>
      <c r="E10" s="4" t="n">
        <f aca="false">'1. Decision Matrix'!E10/SQRT(SUMSQ('1. Decision Matrix'!E$5:E$29))</f>
        <v>0.196982102131692</v>
      </c>
      <c r="F10" s="4" t="n">
        <f aca="false">'1. Decision Matrix'!F10/SQRT(SUMSQ('1. Decision Matrix'!F$5:F$29))</f>
        <v>0.206062563031302</v>
      </c>
      <c r="G10" s="4" t="n">
        <f aca="false">'1. Decision Matrix'!G10/SQRT(SUMSQ('1. Decision Matrix'!G$5:G$29))</f>
        <v>0.198942585339128</v>
      </c>
      <c r="H10" s="4" t="n">
        <f aca="false">'1. Decision Matrix'!H10/SQRT(SUMSQ('1. Decision Matrix'!H$5:H$29))</f>
        <v>0.19015540948095</v>
      </c>
      <c r="I10" s="4" t="n">
        <f aca="false">'1. Decision Matrix'!I10/SQRT(SUMSQ('1. Decision Matrix'!I$5:I$29))</f>
        <v>0.197537028787605</v>
      </c>
      <c r="J10" s="4" t="n">
        <f aca="false">'1. Decision Matrix'!J10/SQRT(SUMSQ('1. Decision Matrix'!J$5:J$29))</f>
        <v>0.199384652092602</v>
      </c>
      <c r="K10" s="4" t="n">
        <f aca="false">'1. Decision Matrix'!K10/SQRT(SUMSQ('1. Decision Matrix'!K$5:K$29))</f>
        <v>0.197138432718615</v>
      </c>
    </row>
    <row r="11" customFormat="false" ht="15" hidden="false" customHeight="false" outlineLevel="0" collapsed="false">
      <c r="A11" s="3" t="n">
        <f aca="false">'1. Decision Matrix'!A11</f>
        <v>7</v>
      </c>
      <c r="B11" s="3" t="str">
        <f aca="false">'1. Decision Matrix'!B11</f>
        <v>RFID</v>
      </c>
      <c r="C11" s="3" t="str">
        <f aca="false">'1. Decision Matrix'!C11</f>
        <v>Inventory Management</v>
      </c>
      <c r="D11" s="4" t="n">
        <f aca="false">'1. Decision Matrix'!D11/SQRT(SUMSQ('1. Decision Matrix'!D$5:D$29))</f>
        <v>0.212021147574662</v>
      </c>
      <c r="E11" s="4" t="n">
        <f aca="false">'1. Decision Matrix'!E11/SQRT(SUMSQ('1. Decision Matrix'!E$5:E$29))</f>
        <v>0.199986186477927</v>
      </c>
      <c r="F11" s="4" t="n">
        <f aca="false">'1. Decision Matrix'!F11/SQRT(SUMSQ('1. Decision Matrix'!F$5:F$29))</f>
        <v>0.20516663884421</v>
      </c>
      <c r="G11" s="4" t="n">
        <f aca="false">'1. Decision Matrix'!G11/SQRT(SUMSQ('1. Decision Matrix'!G$5:G$29))</f>
        <v>0.202402456388504</v>
      </c>
      <c r="H11" s="4" t="n">
        <f aca="false">'1. Decision Matrix'!H11/SQRT(SUMSQ('1. Decision Matrix'!H$5:H$29))</f>
        <v>0.199939692295406</v>
      </c>
      <c r="I11" s="4" t="n">
        <f aca="false">'1. Decision Matrix'!I11/SQRT(SUMSQ('1. Decision Matrix'!I$5:I$29))</f>
        <v>0.202170093428678</v>
      </c>
      <c r="J11" s="4" t="n">
        <f aca="false">'1. Decision Matrix'!J11/SQRT(SUMSQ('1. Decision Matrix'!J$5:J$29))</f>
        <v>0.202867353439198</v>
      </c>
      <c r="K11" s="4" t="n">
        <f aca="false">'1. Decision Matrix'!K11/SQRT(SUMSQ('1. Decision Matrix'!K$5:K$29))</f>
        <v>0.202721874168162</v>
      </c>
    </row>
    <row r="12" customFormat="false" ht="15" hidden="false" customHeight="false" outlineLevel="0" collapsed="false">
      <c r="A12" s="3" t="n">
        <f aca="false">'1. Decision Matrix'!A12</f>
        <v>8</v>
      </c>
      <c r="B12" s="3" t="str">
        <f aca="false">'1. Decision Matrix'!B12</f>
        <v>RFID</v>
      </c>
      <c r="C12" s="3" t="str">
        <f aca="false">'1. Decision Matrix'!C12</f>
        <v>Logistics Management</v>
      </c>
      <c r="D12" s="4" t="n">
        <f aca="false">'1. Decision Matrix'!D12/SQRT(SUMSQ('1. Decision Matrix'!D$5:D$29))</f>
        <v>0.208462039581802</v>
      </c>
      <c r="E12" s="4" t="n">
        <f aca="false">'1. Decision Matrix'!E12/SQRT(SUMSQ('1. Decision Matrix'!E$5:E$29))</f>
        <v>0.200415341384532</v>
      </c>
      <c r="F12" s="4" t="n">
        <f aca="false">'1. Decision Matrix'!F12/SQRT(SUMSQ('1. Decision Matrix'!F$5:F$29))</f>
        <v>0.205614600937756</v>
      </c>
      <c r="G12" s="4" t="n">
        <f aca="false">'1. Decision Matrix'!G12/SQRT(SUMSQ('1. Decision Matrix'!G$5:G$29))</f>
        <v>0.198942585339128</v>
      </c>
      <c r="H12" s="4" t="n">
        <f aca="false">'1. Decision Matrix'!H12/SQRT(SUMSQ('1. Decision Matrix'!H$5:H$29))</f>
        <v>0.20164130669792</v>
      </c>
      <c r="I12" s="4" t="n">
        <f aca="false">'1. Decision Matrix'!I12/SQRT(SUMSQ('1. Decision Matrix'!I$5:I$29))</f>
        <v>0.200906530344749</v>
      </c>
      <c r="J12" s="4" t="n">
        <f aca="false">'1. Decision Matrix'!J12/SQRT(SUMSQ('1. Decision Matrix'!J$5:J$29))</f>
        <v>0.201996678102549</v>
      </c>
      <c r="K12" s="4" t="n">
        <f aca="false">'1. Decision Matrix'!K12/SQRT(SUMSQ('1. Decision Matrix'!K$5:K$29))</f>
        <v>0.198856414703091</v>
      </c>
    </row>
    <row r="13" customFormat="false" ht="15" hidden="false" customHeight="false" outlineLevel="0" collapsed="false">
      <c r="A13" s="3" t="n">
        <f aca="false">'1. Decision Matrix'!A13</f>
        <v>9</v>
      </c>
      <c r="B13" s="3" t="str">
        <f aca="false">'1. Decision Matrix'!B13</f>
        <v>RFID</v>
      </c>
      <c r="C13" s="3" t="str">
        <f aca="false">'1. Decision Matrix'!C13</f>
        <v>Supplier Management</v>
      </c>
      <c r="D13" s="4" t="n">
        <f aca="false">'1. Decision Matrix'!D13/SQRT(SUMSQ('1. Decision Matrix'!D$5:D$29))</f>
        <v>0.211512703575682</v>
      </c>
      <c r="E13" s="4" t="n">
        <f aca="false">'1. Decision Matrix'!E13/SQRT(SUMSQ('1. Decision Matrix'!E$5:E$29))</f>
        <v>0.198269566851507</v>
      </c>
      <c r="F13" s="4" t="n">
        <f aca="false">'1. Decision Matrix'!F13/SQRT(SUMSQ('1. Decision Matrix'!F$5:F$29))</f>
        <v>0.207406449311941</v>
      </c>
      <c r="G13" s="4" t="n">
        <f aca="false">'1. Decision Matrix'!G13/SQRT(SUMSQ('1. Decision Matrix'!G$5:G$29))</f>
        <v>0.1993750692203</v>
      </c>
      <c r="H13" s="4" t="n">
        <f aca="false">'1. Decision Matrix'!H13/SQRT(SUMSQ('1. Decision Matrix'!H$5:H$29))</f>
        <v>0.195685656289121</v>
      </c>
      <c r="I13" s="4" t="n">
        <f aca="false">'1. Decision Matrix'!I13/SQRT(SUMSQ('1. Decision Matrix'!I$5:I$29))</f>
        <v>0.197958216482248</v>
      </c>
      <c r="J13" s="4" t="n">
        <f aca="false">'1. Decision Matrix'!J13/SQRT(SUMSQ('1. Decision Matrix'!J$5:J$29))</f>
        <v>0.199819989760927</v>
      </c>
      <c r="K13" s="4" t="n">
        <f aca="false">'1. Decision Matrix'!K13/SQRT(SUMSQ('1. Decision Matrix'!K$5:K$29))</f>
        <v>0.199715405695329</v>
      </c>
    </row>
    <row r="14" customFormat="false" ht="15" hidden="false" customHeight="false" outlineLevel="0" collapsed="false">
      <c r="A14" s="3" t="n">
        <f aca="false">'1. Decision Matrix'!A14</f>
        <v>10</v>
      </c>
      <c r="B14" s="3" t="str">
        <f aca="false">'1. Decision Matrix'!B14</f>
        <v>RFID</v>
      </c>
      <c r="C14" s="3" t="str">
        <f aca="false">'1. Decision Matrix'!C14</f>
        <v>Just-in-Time</v>
      </c>
      <c r="D14" s="4" t="n">
        <f aca="false">'1. Decision Matrix'!D14/SQRT(SUMSQ('1. Decision Matrix'!D$5:D$29))</f>
        <v>0.214054923570582</v>
      </c>
      <c r="E14" s="4" t="n">
        <f aca="false">'1. Decision Matrix'!E14/SQRT(SUMSQ('1. Decision Matrix'!E$5:E$29))</f>
        <v>0.197840411944902</v>
      </c>
      <c r="F14" s="4" t="n">
        <f aca="false">'1. Decision Matrix'!F14/SQRT(SUMSQ('1. Decision Matrix'!F$5:F$29))</f>
        <v>0.199791093721654</v>
      </c>
      <c r="G14" s="4" t="n">
        <f aca="false">'1. Decision Matrix'!G14/SQRT(SUMSQ('1. Decision Matrix'!G$5:G$29))</f>
        <v>0.196347682052096</v>
      </c>
      <c r="H14" s="4" t="n">
        <f aca="false">'1. Decision Matrix'!H14/SQRT(SUMSQ('1. Decision Matrix'!H$5:H$29))</f>
        <v>0.202917517499805</v>
      </c>
      <c r="I14" s="4" t="n">
        <f aca="false">'1. Decision Matrix'!I14/SQRT(SUMSQ('1. Decision Matrix'!I$5:I$29))</f>
        <v>0.198379404176891</v>
      </c>
      <c r="J14" s="4" t="n">
        <f aca="false">'1. Decision Matrix'!J14/SQRT(SUMSQ('1. Decision Matrix'!J$5:J$29))</f>
        <v>0.2011260027659</v>
      </c>
      <c r="K14" s="4" t="n">
        <f aca="false">'1. Decision Matrix'!K14/SQRT(SUMSQ('1. Decision Matrix'!K$5:K$29))</f>
        <v>0.204010360656519</v>
      </c>
    </row>
    <row r="15" customFormat="false" ht="15" hidden="false" customHeight="false" outlineLevel="0" collapsed="false">
      <c r="A15" s="3" t="n">
        <f aca="false">'1. Decision Matrix'!A15</f>
        <v>11</v>
      </c>
      <c r="B15" s="3" t="str">
        <f aca="false">'1. Decision Matrix'!B15</f>
        <v>GPS</v>
      </c>
      <c r="C15" s="3" t="str">
        <f aca="false">'1. Decision Matrix'!C15</f>
        <v>Procurement Management</v>
      </c>
      <c r="D15" s="4" t="n">
        <f aca="false">'1. Decision Matrix'!D15/SQRT(SUMSQ('1. Decision Matrix'!D$5:D$29))</f>
        <v>0.207445151583842</v>
      </c>
      <c r="E15" s="4" t="n">
        <f aca="false">'1. Decision Matrix'!E15/SQRT(SUMSQ('1. Decision Matrix'!E$5:E$29))</f>
        <v>0.202131961010952</v>
      </c>
      <c r="F15" s="4" t="n">
        <f aca="false">'1. Decision Matrix'!F15/SQRT(SUMSQ('1. Decision Matrix'!F$5:F$29))</f>
        <v>0.207406449311941</v>
      </c>
      <c r="G15" s="4" t="n">
        <f aca="false">'1. Decision Matrix'!G15/SQRT(SUMSQ('1. Decision Matrix'!G$5:G$29))</f>
        <v>0.198942585339128</v>
      </c>
      <c r="H15" s="4" t="n">
        <f aca="false">'1. Decision Matrix'!H15/SQRT(SUMSQ('1. Decision Matrix'!H$5:H$29))</f>
        <v>0.193133234685349</v>
      </c>
      <c r="I15" s="4" t="n">
        <f aca="false">'1. Decision Matrix'!I15/SQRT(SUMSQ('1. Decision Matrix'!I$5:I$29))</f>
        <v>0.198800591871534</v>
      </c>
      <c r="J15" s="4" t="n">
        <f aca="false">'1. Decision Matrix'!J15/SQRT(SUMSQ('1. Decision Matrix'!J$5:J$29))</f>
        <v>0.19720796375098</v>
      </c>
      <c r="K15" s="4" t="n">
        <f aca="false">'1. Decision Matrix'!K15/SQRT(SUMSQ('1. Decision Matrix'!K$5:K$29))</f>
        <v>0.197138432718615</v>
      </c>
    </row>
    <row r="16" customFormat="false" ht="15" hidden="false" customHeight="false" outlineLevel="0" collapsed="false">
      <c r="A16" s="3" t="n">
        <f aca="false">'1. Decision Matrix'!A16</f>
        <v>12</v>
      </c>
      <c r="B16" s="3" t="str">
        <f aca="false">'1. Decision Matrix'!B16</f>
        <v>GPS</v>
      </c>
      <c r="C16" s="3" t="str">
        <f aca="false">'1. Decision Matrix'!C16</f>
        <v>Inventory Management</v>
      </c>
      <c r="D16" s="4" t="n">
        <f aca="false">'1. Decision Matrix'!D16/SQRT(SUMSQ('1. Decision Matrix'!D$5:D$29))</f>
        <v>0.208462039581802</v>
      </c>
      <c r="E16" s="4" t="n">
        <f aca="false">'1. Decision Matrix'!E16/SQRT(SUMSQ('1. Decision Matrix'!E$5:E$29))</f>
        <v>0.205136045357187</v>
      </c>
      <c r="F16" s="4" t="n">
        <f aca="false">'1. Decision Matrix'!F16/SQRT(SUMSQ('1. Decision Matrix'!F$5:F$29))</f>
        <v>0.206510525124849</v>
      </c>
      <c r="G16" s="4" t="n">
        <f aca="false">'1. Decision Matrix'!G16/SQRT(SUMSQ('1. Decision Matrix'!G$5:G$29))</f>
        <v>0.202402456388504</v>
      </c>
      <c r="H16" s="4" t="n">
        <f aca="false">'1. Decision Matrix'!H16/SQRT(SUMSQ('1. Decision Matrix'!H$5:H$29))</f>
        <v>0.202917517499805</v>
      </c>
      <c r="I16" s="4" t="n">
        <f aca="false">'1. Decision Matrix'!I16/SQRT(SUMSQ('1. Decision Matrix'!I$5:I$29))</f>
        <v>0.203433656512608</v>
      </c>
      <c r="J16" s="4" t="n">
        <f aca="false">'1. Decision Matrix'!J16/SQRT(SUMSQ('1. Decision Matrix'!J$5:J$29))</f>
        <v>0.200690665097576</v>
      </c>
      <c r="K16" s="4" t="n">
        <f aca="false">'1. Decision Matrix'!K16/SQRT(SUMSQ('1. Decision Matrix'!K$5:K$29))</f>
        <v>0.202721874168162</v>
      </c>
    </row>
    <row r="17" customFormat="false" ht="15" hidden="false" customHeight="false" outlineLevel="0" collapsed="false">
      <c r="A17" s="3" t="n">
        <f aca="false">'1. Decision Matrix'!A17</f>
        <v>13</v>
      </c>
      <c r="B17" s="3" t="str">
        <f aca="false">'1. Decision Matrix'!B17</f>
        <v>GPS</v>
      </c>
      <c r="C17" s="3" t="str">
        <f aca="false">'1. Decision Matrix'!C17</f>
        <v>Logistics Management</v>
      </c>
      <c r="D17" s="4" t="n">
        <f aca="false">'1. Decision Matrix'!D17/SQRT(SUMSQ('1. Decision Matrix'!D$5:D$29))</f>
        <v>0.204902931588942</v>
      </c>
      <c r="E17" s="4" t="n">
        <f aca="false">'1. Decision Matrix'!E17/SQRT(SUMSQ('1. Decision Matrix'!E$5:E$29))</f>
        <v>0.205565200263792</v>
      </c>
      <c r="F17" s="4" t="n">
        <f aca="false">'1. Decision Matrix'!F17/SQRT(SUMSQ('1. Decision Matrix'!F$5:F$29))</f>
        <v>0.206958487218395</v>
      </c>
      <c r="G17" s="4" t="n">
        <f aca="false">'1. Decision Matrix'!G17/SQRT(SUMSQ('1. Decision Matrix'!G$5:G$29))</f>
        <v>0.198942585339128</v>
      </c>
      <c r="H17" s="4" t="n">
        <f aca="false">'1. Decision Matrix'!H17/SQRT(SUMSQ('1. Decision Matrix'!H$5:H$29))</f>
        <v>0.20461913190232</v>
      </c>
      <c r="I17" s="4" t="n">
        <f aca="false">'1. Decision Matrix'!I17/SQRT(SUMSQ('1. Decision Matrix'!I$5:I$29))</f>
        <v>0.202170093428678</v>
      </c>
      <c r="J17" s="4" t="n">
        <f aca="false">'1. Decision Matrix'!J17/SQRT(SUMSQ('1. Decision Matrix'!J$5:J$29))</f>
        <v>0.199819989760927</v>
      </c>
      <c r="K17" s="4" t="n">
        <f aca="false">'1. Decision Matrix'!K17/SQRT(SUMSQ('1. Decision Matrix'!K$5:K$29))</f>
        <v>0.198856414703091</v>
      </c>
    </row>
    <row r="18" customFormat="false" ht="15" hidden="false" customHeight="false" outlineLevel="0" collapsed="false">
      <c r="A18" s="3" t="n">
        <f aca="false">'1. Decision Matrix'!A18</f>
        <v>14</v>
      </c>
      <c r="B18" s="3" t="str">
        <f aca="false">'1. Decision Matrix'!B18</f>
        <v>GPS</v>
      </c>
      <c r="C18" s="3" t="str">
        <f aca="false">'1. Decision Matrix'!C18</f>
        <v>Supplier Management</v>
      </c>
      <c r="D18" s="4" t="n">
        <f aca="false">'1. Decision Matrix'!D18/SQRT(SUMSQ('1. Decision Matrix'!D$5:D$29))</f>
        <v>0.207953595582822</v>
      </c>
      <c r="E18" s="4" t="n">
        <f aca="false">'1. Decision Matrix'!E18/SQRT(SUMSQ('1. Decision Matrix'!E$5:E$29))</f>
        <v>0.203419425730767</v>
      </c>
      <c r="F18" s="4" t="n">
        <f aca="false">'1. Decision Matrix'!F18/SQRT(SUMSQ('1. Decision Matrix'!F$5:F$29))</f>
        <v>0.20875033559258</v>
      </c>
      <c r="G18" s="4" t="n">
        <f aca="false">'1. Decision Matrix'!G18/SQRT(SUMSQ('1. Decision Matrix'!G$5:G$29))</f>
        <v>0.1993750692203</v>
      </c>
      <c r="H18" s="4" t="n">
        <f aca="false">'1. Decision Matrix'!H18/SQRT(SUMSQ('1. Decision Matrix'!H$5:H$29))</f>
        <v>0.19866348149352</v>
      </c>
      <c r="I18" s="4" t="n">
        <f aca="false">'1. Decision Matrix'!I18/SQRT(SUMSQ('1. Decision Matrix'!I$5:I$29))</f>
        <v>0.199221779566177</v>
      </c>
      <c r="J18" s="4" t="n">
        <f aca="false">'1. Decision Matrix'!J18/SQRT(SUMSQ('1. Decision Matrix'!J$5:J$29))</f>
        <v>0.197643301419305</v>
      </c>
      <c r="K18" s="4" t="n">
        <f aca="false">'1. Decision Matrix'!K18/SQRT(SUMSQ('1. Decision Matrix'!K$5:K$29))</f>
        <v>0.199715405695329</v>
      </c>
    </row>
    <row r="19" customFormat="false" ht="15" hidden="false" customHeight="false" outlineLevel="0" collapsed="false">
      <c r="A19" s="3" t="n">
        <f aca="false">'1. Decision Matrix'!A19</f>
        <v>15</v>
      </c>
      <c r="B19" s="3" t="str">
        <f aca="false">'1. Decision Matrix'!B19</f>
        <v>GPS</v>
      </c>
      <c r="C19" s="3" t="str">
        <f aca="false">'1. Decision Matrix'!C19</f>
        <v>Just-in-Time</v>
      </c>
      <c r="D19" s="4" t="n">
        <f aca="false">'1. Decision Matrix'!D19/SQRT(SUMSQ('1. Decision Matrix'!D$5:D$29))</f>
        <v>0.210495815577722</v>
      </c>
      <c r="E19" s="4" t="n">
        <f aca="false">'1. Decision Matrix'!E19/SQRT(SUMSQ('1. Decision Matrix'!E$5:E$29))</f>
        <v>0.202990270824162</v>
      </c>
      <c r="F19" s="4" t="n">
        <f aca="false">'1. Decision Matrix'!F19/SQRT(SUMSQ('1. Decision Matrix'!F$5:F$29))</f>
        <v>0.201134980002293</v>
      </c>
      <c r="G19" s="4" t="n">
        <f aca="false">'1. Decision Matrix'!G19/SQRT(SUMSQ('1. Decision Matrix'!G$5:G$29))</f>
        <v>0.196347682052096</v>
      </c>
      <c r="H19" s="4" t="n">
        <f aca="false">'1. Decision Matrix'!H19/SQRT(SUMSQ('1. Decision Matrix'!H$5:H$29))</f>
        <v>0.205895342704205</v>
      </c>
      <c r="I19" s="4" t="n">
        <f aca="false">'1. Decision Matrix'!I19/SQRT(SUMSQ('1. Decision Matrix'!I$5:I$29))</f>
        <v>0.19964296726082</v>
      </c>
      <c r="J19" s="4" t="n">
        <f aca="false">'1. Decision Matrix'!J19/SQRT(SUMSQ('1. Decision Matrix'!J$5:J$29))</f>
        <v>0.198949314424278</v>
      </c>
      <c r="K19" s="4" t="n">
        <f aca="false">'1. Decision Matrix'!K19/SQRT(SUMSQ('1. Decision Matrix'!K$5:K$29))</f>
        <v>0.204010360656519</v>
      </c>
    </row>
    <row r="20" customFormat="false" ht="15" hidden="false" customHeight="false" outlineLevel="0" collapsed="false">
      <c r="A20" s="3" t="n">
        <f aca="false">'1. Decision Matrix'!A20</f>
        <v>16</v>
      </c>
      <c r="B20" s="3" t="str">
        <f aca="false">'1. Decision Matrix'!B20</f>
        <v>BIM-IoT integration</v>
      </c>
      <c r="C20" s="3" t="str">
        <f aca="false">'1. Decision Matrix'!C20</f>
        <v>Procurement Management</v>
      </c>
      <c r="D20" s="4" t="n">
        <f aca="false">'1. Decision Matrix'!D20/SQRT(SUMSQ('1. Decision Matrix'!D$5:D$29))</f>
        <v>0.192191831614442</v>
      </c>
      <c r="E20" s="4" t="n">
        <f aca="false">'1. Decision Matrix'!E20/SQRT(SUMSQ('1. Decision Matrix'!E$5:E$29))</f>
        <v>0.197840411944902</v>
      </c>
      <c r="F20" s="4" t="n">
        <f aca="false">'1. Decision Matrix'!F20/SQRT(SUMSQ('1. Decision Matrix'!F$5:F$29))</f>
        <v>0.189487965570089</v>
      </c>
      <c r="G20" s="4" t="n">
        <f aca="false">'1. Decision Matrix'!G20/SQRT(SUMSQ('1. Decision Matrix'!G$5:G$29))</f>
        <v>0.202402456388504</v>
      </c>
      <c r="H20" s="4" t="n">
        <f aca="false">'1. Decision Matrix'!H20/SQRT(SUMSQ('1. Decision Matrix'!H$5:H$29))</f>
        <v>0.192707831084721</v>
      </c>
      <c r="I20" s="4" t="n">
        <f aca="false">'1. Decision Matrix'!I20/SQRT(SUMSQ('1. Decision Matrix'!I$5:I$29))</f>
        <v>0.201327718039392</v>
      </c>
      <c r="J20" s="4" t="n">
        <f aca="false">'1. Decision Matrix'!J20/SQRT(SUMSQ('1. Decision Matrix'!J$5:J$29))</f>
        <v>0.198949314424278</v>
      </c>
      <c r="K20" s="4" t="n">
        <f aca="false">'1. Decision Matrix'!K20/SQRT(SUMSQ('1. Decision Matrix'!K$5:K$29))</f>
        <v>0.19928591019921</v>
      </c>
    </row>
    <row r="21" customFormat="false" ht="15" hidden="false" customHeight="false" outlineLevel="0" collapsed="false">
      <c r="A21" s="3" t="n">
        <f aca="false">'1. Decision Matrix'!A21</f>
        <v>17</v>
      </c>
      <c r="B21" s="3" t="str">
        <f aca="false">'1. Decision Matrix'!B21</f>
        <v>BIM-IoT integration</v>
      </c>
      <c r="C21" s="3" t="str">
        <f aca="false">'1. Decision Matrix'!C21</f>
        <v>Inventory Management</v>
      </c>
      <c r="D21" s="4" t="n">
        <f aca="false">'1. Decision Matrix'!D21/SQRT(SUMSQ('1. Decision Matrix'!D$5:D$29))</f>
        <v>0.193208719612402</v>
      </c>
      <c r="E21" s="4" t="n">
        <f aca="false">'1. Decision Matrix'!E21/SQRT(SUMSQ('1. Decision Matrix'!E$5:E$29))</f>
        <v>0.200844496291137</v>
      </c>
      <c r="F21" s="4" t="n">
        <f aca="false">'1. Decision Matrix'!F21/SQRT(SUMSQ('1. Decision Matrix'!F$5:F$29))</f>
        <v>0.188592041382996</v>
      </c>
      <c r="G21" s="4" t="n">
        <f aca="false">'1. Decision Matrix'!G21/SQRT(SUMSQ('1. Decision Matrix'!G$5:G$29))</f>
        <v>0.20586232743788</v>
      </c>
      <c r="H21" s="4" t="n">
        <f aca="false">'1. Decision Matrix'!H21/SQRT(SUMSQ('1. Decision Matrix'!H$5:H$29))</f>
        <v>0.202492113899177</v>
      </c>
      <c r="I21" s="4" t="n">
        <f aca="false">'1. Decision Matrix'!I21/SQRT(SUMSQ('1. Decision Matrix'!I$5:I$29))</f>
        <v>0.205960782680466</v>
      </c>
      <c r="J21" s="4" t="n">
        <f aca="false">'1. Decision Matrix'!J21/SQRT(SUMSQ('1. Decision Matrix'!J$5:J$29))</f>
        <v>0.202432015770874</v>
      </c>
      <c r="K21" s="4" t="n">
        <f aca="false">'1. Decision Matrix'!K21/SQRT(SUMSQ('1. Decision Matrix'!K$5:K$29))</f>
        <v>0.204869351648757</v>
      </c>
    </row>
    <row r="22" customFormat="false" ht="15" hidden="false" customHeight="false" outlineLevel="0" collapsed="false">
      <c r="A22" s="3" t="n">
        <f aca="false">'1. Decision Matrix'!A22</f>
        <v>18</v>
      </c>
      <c r="B22" s="3" t="str">
        <f aca="false">'1. Decision Matrix'!B22</f>
        <v>BIM-IoT integration</v>
      </c>
      <c r="C22" s="3" t="str">
        <f aca="false">'1. Decision Matrix'!C22</f>
        <v>Logistics Management</v>
      </c>
      <c r="D22" s="4" t="n">
        <f aca="false">'1. Decision Matrix'!D22/SQRT(SUMSQ('1. Decision Matrix'!D$5:D$29))</f>
        <v>0.189649611619542</v>
      </c>
      <c r="E22" s="4" t="n">
        <f aca="false">'1. Decision Matrix'!E22/SQRT(SUMSQ('1. Decision Matrix'!E$5:E$29))</f>
        <v>0.201273651197742</v>
      </c>
      <c r="F22" s="4" t="n">
        <f aca="false">'1. Decision Matrix'!F22/SQRT(SUMSQ('1. Decision Matrix'!F$5:F$29))</f>
        <v>0.189040003476543</v>
      </c>
      <c r="G22" s="4" t="n">
        <f aca="false">'1. Decision Matrix'!G22/SQRT(SUMSQ('1. Decision Matrix'!G$5:G$29))</f>
        <v>0.202402456388504</v>
      </c>
      <c r="H22" s="4" t="n">
        <f aca="false">'1. Decision Matrix'!H22/SQRT(SUMSQ('1. Decision Matrix'!H$5:H$29))</f>
        <v>0.204193728301691</v>
      </c>
      <c r="I22" s="4" t="n">
        <f aca="false">'1. Decision Matrix'!I22/SQRT(SUMSQ('1. Decision Matrix'!I$5:I$29))</f>
        <v>0.204697219596537</v>
      </c>
      <c r="J22" s="4" t="n">
        <f aca="false">'1. Decision Matrix'!J22/SQRT(SUMSQ('1. Decision Matrix'!J$5:J$29))</f>
        <v>0.201561340434225</v>
      </c>
      <c r="K22" s="4" t="n">
        <f aca="false">'1. Decision Matrix'!K22/SQRT(SUMSQ('1. Decision Matrix'!K$5:K$29))</f>
        <v>0.201003892183686</v>
      </c>
    </row>
    <row r="23" customFormat="false" ht="15" hidden="false" customHeight="false" outlineLevel="0" collapsed="false">
      <c r="A23" s="3" t="n">
        <f aca="false">'1. Decision Matrix'!A23</f>
        <v>19</v>
      </c>
      <c r="B23" s="3" t="str">
        <f aca="false">'1. Decision Matrix'!B23</f>
        <v>BIM-IoT integration</v>
      </c>
      <c r="C23" s="3" t="str">
        <f aca="false">'1. Decision Matrix'!C23</f>
        <v>Supplier Management</v>
      </c>
      <c r="D23" s="4" t="n">
        <f aca="false">'1. Decision Matrix'!D23/SQRT(SUMSQ('1. Decision Matrix'!D$5:D$29))</f>
        <v>0.192700275613422</v>
      </c>
      <c r="E23" s="4" t="n">
        <f aca="false">'1. Decision Matrix'!E23/SQRT(SUMSQ('1. Decision Matrix'!E$5:E$29))</f>
        <v>0.199127876664717</v>
      </c>
      <c r="F23" s="4" t="n">
        <f aca="false">'1. Decision Matrix'!F23/SQRT(SUMSQ('1. Decision Matrix'!F$5:F$29))</f>
        <v>0.190831851850728</v>
      </c>
      <c r="G23" s="4" t="n">
        <f aca="false">'1. Decision Matrix'!G23/SQRT(SUMSQ('1. Decision Matrix'!G$5:G$29))</f>
        <v>0.202834940269676</v>
      </c>
      <c r="H23" s="4" t="n">
        <f aca="false">'1. Decision Matrix'!H23/SQRT(SUMSQ('1. Decision Matrix'!H$5:H$29))</f>
        <v>0.198238077892892</v>
      </c>
      <c r="I23" s="4" t="n">
        <f aca="false">'1. Decision Matrix'!I23/SQRT(SUMSQ('1. Decision Matrix'!I$5:I$29))</f>
        <v>0.201748905734035</v>
      </c>
      <c r="J23" s="4" t="n">
        <f aca="false">'1. Decision Matrix'!J23/SQRT(SUMSQ('1. Decision Matrix'!J$5:J$29))</f>
        <v>0.199384652092603</v>
      </c>
      <c r="K23" s="4" t="n">
        <f aca="false">'1. Decision Matrix'!K23/SQRT(SUMSQ('1. Decision Matrix'!K$5:K$29))</f>
        <v>0.201862883175924</v>
      </c>
    </row>
    <row r="24" customFormat="false" ht="15" hidden="false" customHeight="false" outlineLevel="0" collapsed="false">
      <c r="A24" s="3" t="n">
        <f aca="false">'1. Decision Matrix'!A24</f>
        <v>20</v>
      </c>
      <c r="B24" s="3" t="str">
        <f aca="false">'1. Decision Matrix'!B24</f>
        <v>BIM-IoT integration</v>
      </c>
      <c r="C24" s="3" t="str">
        <f aca="false">'1. Decision Matrix'!C24</f>
        <v>Just-in-Time</v>
      </c>
      <c r="D24" s="4" t="n">
        <f aca="false">'1. Decision Matrix'!D24/SQRT(SUMSQ('1. Decision Matrix'!D$5:D$29))</f>
        <v>0.195242495608322</v>
      </c>
      <c r="E24" s="4" t="n">
        <f aca="false">'1. Decision Matrix'!E24/SQRT(SUMSQ('1. Decision Matrix'!E$5:E$29))</f>
        <v>0.198698721758112</v>
      </c>
      <c r="F24" s="4" t="n">
        <f aca="false">'1. Decision Matrix'!F24/SQRT(SUMSQ('1. Decision Matrix'!F$5:F$29))</f>
        <v>0.183216496260441</v>
      </c>
      <c r="G24" s="4" t="n">
        <f aca="false">'1. Decision Matrix'!G24/SQRT(SUMSQ('1. Decision Matrix'!G$5:G$29))</f>
        <v>0.199807553101472</v>
      </c>
      <c r="H24" s="4" t="n">
        <f aca="false">'1. Decision Matrix'!H24/SQRT(SUMSQ('1. Decision Matrix'!H$5:H$29))</f>
        <v>0.205469939103577</v>
      </c>
      <c r="I24" s="4" t="n">
        <f aca="false">'1. Decision Matrix'!I24/SQRT(SUMSQ('1. Decision Matrix'!I$5:I$29))</f>
        <v>0.202170093428678</v>
      </c>
      <c r="J24" s="4" t="n">
        <f aca="false">'1. Decision Matrix'!J24/SQRT(SUMSQ('1. Decision Matrix'!J$5:J$29))</f>
        <v>0.200690665097576</v>
      </c>
      <c r="K24" s="4" t="n">
        <f aca="false">'1. Decision Matrix'!K24/SQRT(SUMSQ('1. Decision Matrix'!K$5:K$29))</f>
        <v>0.206157838137114</v>
      </c>
    </row>
    <row r="25" customFormat="false" ht="15" hidden="false" customHeight="false" outlineLevel="0" collapsed="false">
      <c r="A25" s="3" t="n">
        <f aca="false">'1. Decision Matrix'!A25</f>
        <v>21</v>
      </c>
      <c r="B25" s="3" t="str">
        <f aca="false">'1. Decision Matrix'!B25</f>
        <v>Cloud computing</v>
      </c>
      <c r="C25" s="3" t="str">
        <f aca="false">'1. Decision Matrix'!C25</f>
        <v>Procurement Management</v>
      </c>
      <c r="D25" s="4" t="n">
        <f aca="false">'1. Decision Matrix'!D25/SQRT(SUMSQ('1. Decision Matrix'!D$5:D$29))</f>
        <v>0.190158055618522</v>
      </c>
      <c r="E25" s="4" t="n">
        <f aca="false">'1. Decision Matrix'!E25/SQRT(SUMSQ('1. Decision Matrix'!E$5:E$29))</f>
        <v>0.197411257038297</v>
      </c>
      <c r="F25" s="4" t="n">
        <f aca="false">'1. Decision Matrix'!F25/SQRT(SUMSQ('1. Decision Matrix'!F$5:F$29))</f>
        <v>0.199791093721654</v>
      </c>
      <c r="G25" s="4" t="n">
        <f aca="false">'1. Decision Matrix'!G25/SQRT(SUMSQ('1. Decision Matrix'!G$5:G$29))</f>
        <v>0.201537488626161</v>
      </c>
      <c r="H25" s="4" t="n">
        <f aca="false">'1. Decision Matrix'!H25/SQRT(SUMSQ('1. Decision Matrix'!H$5:H$29))</f>
        <v>0.193984041886606</v>
      </c>
      <c r="I25" s="4" t="n">
        <f aca="false">'1. Decision Matrix'!I25/SQRT(SUMSQ('1. Decision Matrix'!I$5:I$29))</f>
        <v>0.198379404176891</v>
      </c>
      <c r="J25" s="4" t="n">
        <f aca="false">'1. Decision Matrix'!J25/SQRT(SUMSQ('1. Decision Matrix'!J$5:J$29))</f>
        <v>0.197643301419304</v>
      </c>
      <c r="K25" s="4" t="n">
        <f aca="false">'1. Decision Matrix'!K25/SQRT(SUMSQ('1. Decision Matrix'!K$5:K$29))</f>
        <v>0.196708937222496</v>
      </c>
    </row>
    <row r="26" customFormat="false" ht="15" hidden="false" customHeight="false" outlineLevel="0" collapsed="false">
      <c r="A26" s="3" t="n">
        <f aca="false">'1. Decision Matrix'!A26</f>
        <v>22</v>
      </c>
      <c r="B26" s="3" t="str">
        <f aca="false">'1. Decision Matrix'!B26</f>
        <v>Cloud computing</v>
      </c>
      <c r="C26" s="3" t="str">
        <f aca="false">'1. Decision Matrix'!C26</f>
        <v>Inventory Management</v>
      </c>
      <c r="D26" s="4" t="n">
        <f aca="false">'1. Decision Matrix'!D26/SQRT(SUMSQ('1. Decision Matrix'!D$5:D$29))</f>
        <v>0.191174943616482</v>
      </c>
      <c r="E26" s="4" t="n">
        <f aca="false">'1. Decision Matrix'!E26/SQRT(SUMSQ('1. Decision Matrix'!E$5:E$29))</f>
        <v>0.200415341384532</v>
      </c>
      <c r="F26" s="4" t="n">
        <f aca="false">'1. Decision Matrix'!F26/SQRT(SUMSQ('1. Decision Matrix'!F$5:F$29))</f>
        <v>0.198895169534561</v>
      </c>
      <c r="G26" s="4" t="n">
        <f aca="false">'1. Decision Matrix'!G26/SQRT(SUMSQ('1. Decision Matrix'!G$5:G$29))</f>
        <v>0.204997359675536</v>
      </c>
      <c r="H26" s="4" t="n">
        <f aca="false">'1. Decision Matrix'!H26/SQRT(SUMSQ('1. Decision Matrix'!H$5:H$29))</f>
        <v>0.203768324701063</v>
      </c>
      <c r="I26" s="4" t="n">
        <f aca="false">'1. Decision Matrix'!I26/SQRT(SUMSQ('1. Decision Matrix'!I$5:I$29))</f>
        <v>0.203012468817965</v>
      </c>
      <c r="J26" s="4" t="n">
        <f aca="false">'1. Decision Matrix'!J26/SQRT(SUMSQ('1. Decision Matrix'!J$5:J$29))</f>
        <v>0.2011260027659</v>
      </c>
      <c r="K26" s="4" t="n">
        <f aca="false">'1. Decision Matrix'!K26/SQRT(SUMSQ('1. Decision Matrix'!K$5:K$29))</f>
        <v>0.202292378672043</v>
      </c>
    </row>
    <row r="27" customFormat="false" ht="15" hidden="false" customHeight="false" outlineLevel="0" collapsed="false">
      <c r="A27" s="3" t="n">
        <f aca="false">'1. Decision Matrix'!A27</f>
        <v>23</v>
      </c>
      <c r="B27" s="3" t="str">
        <f aca="false">'1. Decision Matrix'!B27</f>
        <v>Cloud computing</v>
      </c>
      <c r="C27" s="3" t="str">
        <f aca="false">'1. Decision Matrix'!C27</f>
        <v>Logistics Management</v>
      </c>
      <c r="D27" s="4" t="n">
        <f aca="false">'1. Decision Matrix'!D27/SQRT(SUMSQ('1. Decision Matrix'!D$5:D$29))</f>
        <v>0.187615835623622</v>
      </c>
      <c r="E27" s="4" t="n">
        <f aca="false">'1. Decision Matrix'!E27/SQRT(SUMSQ('1. Decision Matrix'!E$5:E$29))</f>
        <v>0.200844496291137</v>
      </c>
      <c r="F27" s="4" t="n">
        <f aca="false">'1. Decision Matrix'!F27/SQRT(SUMSQ('1. Decision Matrix'!F$5:F$29))</f>
        <v>0.199343131628108</v>
      </c>
      <c r="G27" s="4" t="n">
        <f aca="false">'1. Decision Matrix'!G27/SQRT(SUMSQ('1. Decision Matrix'!G$5:G$29))</f>
        <v>0.201537488626161</v>
      </c>
      <c r="H27" s="4" t="n">
        <f aca="false">'1. Decision Matrix'!H27/SQRT(SUMSQ('1. Decision Matrix'!H$5:H$29))</f>
        <v>0.205469939103577</v>
      </c>
      <c r="I27" s="4" t="n">
        <f aca="false">'1. Decision Matrix'!I27/SQRT(SUMSQ('1. Decision Matrix'!I$5:I$29))</f>
        <v>0.201748905734035</v>
      </c>
      <c r="J27" s="4" t="n">
        <f aca="false">'1. Decision Matrix'!J27/SQRT(SUMSQ('1. Decision Matrix'!J$5:J$29))</f>
        <v>0.200255327429251</v>
      </c>
      <c r="K27" s="4" t="n">
        <f aca="false">'1. Decision Matrix'!K27/SQRT(SUMSQ('1. Decision Matrix'!K$5:K$29))</f>
        <v>0.198426919206972</v>
      </c>
    </row>
    <row r="28" customFormat="false" ht="15" hidden="false" customHeight="false" outlineLevel="0" collapsed="false">
      <c r="A28" s="3" t="n">
        <f aca="false">'1. Decision Matrix'!A28</f>
        <v>24</v>
      </c>
      <c r="B28" s="3" t="str">
        <f aca="false">'1. Decision Matrix'!B28</f>
        <v>Cloud computing</v>
      </c>
      <c r="C28" s="3" t="str">
        <f aca="false">'1. Decision Matrix'!C28</f>
        <v>Supplier Management</v>
      </c>
      <c r="D28" s="4" t="n">
        <f aca="false">'1. Decision Matrix'!D28/SQRT(SUMSQ('1. Decision Matrix'!D$5:D$29))</f>
        <v>0.190666499617502</v>
      </c>
      <c r="E28" s="4" t="n">
        <f aca="false">'1. Decision Matrix'!E28/SQRT(SUMSQ('1. Decision Matrix'!E$5:E$29))</f>
        <v>0.198698721758112</v>
      </c>
      <c r="F28" s="4" t="n">
        <f aca="false">'1. Decision Matrix'!F28/SQRT(SUMSQ('1. Decision Matrix'!F$5:F$29))</f>
        <v>0.201134980002293</v>
      </c>
      <c r="G28" s="4" t="n">
        <f aca="false">'1. Decision Matrix'!G28/SQRT(SUMSQ('1. Decision Matrix'!G$5:G$29))</f>
        <v>0.201969972507332</v>
      </c>
      <c r="H28" s="4" t="n">
        <f aca="false">'1. Decision Matrix'!H28/SQRT(SUMSQ('1. Decision Matrix'!H$5:H$29))</f>
        <v>0.199514288694777</v>
      </c>
      <c r="I28" s="4" t="n">
        <f aca="false">'1. Decision Matrix'!I28/SQRT(SUMSQ('1. Decision Matrix'!I$5:I$29))</f>
        <v>0.198800591871534</v>
      </c>
      <c r="J28" s="4" t="n">
        <f aca="false">'1. Decision Matrix'!J28/SQRT(SUMSQ('1. Decision Matrix'!J$5:J$29))</f>
        <v>0.198078639087629</v>
      </c>
      <c r="K28" s="4" t="n">
        <f aca="false">'1. Decision Matrix'!K28/SQRT(SUMSQ('1. Decision Matrix'!K$5:K$29))</f>
        <v>0.19928591019921</v>
      </c>
    </row>
    <row r="29" customFormat="false" ht="15" hidden="false" customHeight="false" outlineLevel="0" collapsed="false">
      <c r="A29" s="3" t="n">
        <f aca="false">'1. Decision Matrix'!A29</f>
        <v>25</v>
      </c>
      <c r="B29" s="3" t="str">
        <f aca="false">'1. Decision Matrix'!B29</f>
        <v>Cloud computing</v>
      </c>
      <c r="C29" s="3" t="str">
        <f aca="false">'1. Decision Matrix'!C29</f>
        <v>Just-in-Time</v>
      </c>
      <c r="D29" s="4" t="n">
        <f aca="false">'1. Decision Matrix'!D29/SQRT(SUMSQ('1. Decision Matrix'!D$5:D$29))</f>
        <v>0.193208719612402</v>
      </c>
      <c r="E29" s="4" t="n">
        <f aca="false">'1. Decision Matrix'!E29/SQRT(SUMSQ('1. Decision Matrix'!E$5:E$29))</f>
        <v>0.198269566851507</v>
      </c>
      <c r="F29" s="4" t="n">
        <f aca="false">'1. Decision Matrix'!F29/SQRT(SUMSQ('1. Decision Matrix'!F$5:F$29))</f>
        <v>0.193519624412006</v>
      </c>
      <c r="G29" s="4" t="n">
        <f aca="false">'1. Decision Matrix'!G29/SQRT(SUMSQ('1. Decision Matrix'!G$5:G$29))</f>
        <v>0.198942585339128</v>
      </c>
      <c r="H29" s="4" t="n">
        <f aca="false">'1. Decision Matrix'!H29/SQRT(SUMSQ('1. Decision Matrix'!H$5:H$29))</f>
        <v>0.206746149905462</v>
      </c>
      <c r="I29" s="4" t="n">
        <f aca="false">'1. Decision Matrix'!I29/SQRT(SUMSQ('1. Decision Matrix'!I$5:I$29))</f>
        <v>0.199221779566177</v>
      </c>
      <c r="J29" s="4" t="n">
        <f aca="false">'1. Decision Matrix'!J29/SQRT(SUMSQ('1. Decision Matrix'!J$5:J$29))</f>
        <v>0.199384652092602</v>
      </c>
      <c r="K29" s="4" t="n">
        <f aca="false">'1. Decision Matrix'!K29/SQRT(SUMSQ('1. Decision Matrix'!K$5:K$29))</f>
        <v>0.2035808651604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11" min="4" style="0" width="12"/>
  </cols>
  <sheetData>
    <row r="1" customFormat="false" ht="16.15" hidden="false" customHeight="fals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7" t="s">
        <v>35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35.05" hidden="false" customHeight="false" outlineLevel="0" collapsed="false">
      <c r="A4" s="8" t="s">
        <v>19</v>
      </c>
      <c r="B4" s="8" t="s">
        <v>20</v>
      </c>
      <c r="C4" s="8" t="s">
        <v>21</v>
      </c>
      <c r="D4" s="8" t="s">
        <v>5</v>
      </c>
      <c r="E4" s="8" t="s">
        <v>7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</row>
    <row r="5" customFormat="false" ht="15" hidden="false" customHeight="false" outlineLevel="0" collapsed="false">
      <c r="A5" s="3" t="n">
        <f aca="false">'2. Normalized Matrix'!A5</f>
        <v>1</v>
      </c>
      <c r="B5" s="3" t="str">
        <f aca="false">'2. Normalized Matrix'!B5</f>
        <v>IoT Sensors</v>
      </c>
      <c r="C5" s="3" t="str">
        <f aca="false">'2. Normalized Matrix'!C5</f>
        <v>Procurement Management</v>
      </c>
      <c r="D5" s="4" t="n">
        <f aca="false">'2. Normalized Matrix'!D5*Weights!$B$4</f>
        <v>0.0212046895467281</v>
      </c>
      <c r="E5" s="4" t="n">
        <f aca="false">'2. Normalized Matrix'!E5*Weights!$B$5</f>
        <v>0.025236064109905</v>
      </c>
      <c r="F5" s="4" t="n">
        <f aca="false">'2. Normalized Matrix'!F5*Weights!$B$6</f>
        <v>0.0248930419589775</v>
      </c>
      <c r="G5" s="4" t="n">
        <f aca="false">'2. Normalized Matrix'!G5*Weights!$B$7</f>
        <v>0.0250154365006717</v>
      </c>
      <c r="H5" s="4" t="n">
        <f aca="false">'2. Normalized Matrix'!H5*Weights!$B$8</f>
        <v>0.024570584058956</v>
      </c>
      <c r="I5" s="4" t="n">
        <f aca="false">'2. Normalized Matrix'!I5*Weights!$B$9</f>
        <v>0.025400209448078</v>
      </c>
      <c r="J5" s="4" t="n">
        <f aca="false">'2. Normalized Matrix'!J5*Weights!$B$10</f>
        <v>0.0250721176999189</v>
      </c>
      <c r="K5" s="4" t="n">
        <f aca="false">'2. Normalized Matrix'!K5*Weights!$B$11</f>
        <v>0.0246846437685867</v>
      </c>
    </row>
    <row r="6" customFormat="false" ht="15" hidden="false" customHeight="false" outlineLevel="0" collapsed="false">
      <c r="A6" s="3" t="n">
        <f aca="false">'2. Normalized Matrix'!A6</f>
        <v>2</v>
      </c>
      <c r="B6" s="3" t="str">
        <f aca="false">'2. Normalized Matrix'!B6</f>
        <v>IoT Sensors</v>
      </c>
      <c r="C6" s="3" t="str">
        <f aca="false">'2. Normalized Matrix'!C6</f>
        <v>Inventory Management</v>
      </c>
      <c r="D6" s="4" t="n">
        <f aca="false">'2. Normalized Matrix'!D6*Weights!$B$4</f>
        <v>0.0213145584044831</v>
      </c>
      <c r="E6" s="4" t="n">
        <f aca="false">'2. Normalized Matrix'!E6*Weights!$B$5</f>
        <v>0.025620927832714</v>
      </c>
      <c r="F6" s="4" t="n">
        <f aca="false">'2. Normalized Matrix'!F6*Weights!$B$6</f>
        <v>0.0247831389039709</v>
      </c>
      <c r="G6" s="4" t="n">
        <f aca="false">'2. Normalized Matrix'!G6*Weights!$B$7</f>
        <v>0.0254552683512329</v>
      </c>
      <c r="H6" s="4" t="n">
        <f aca="false">'2. Normalized Matrix'!H6*Weights!$B$8</f>
        <v>0.0258348422991259</v>
      </c>
      <c r="I6" s="4" t="n">
        <f aca="false">'2. Normalized Matrix'!I6*Weights!$B$9</f>
        <v>0.0260049763396989</v>
      </c>
      <c r="J6" s="4" t="n">
        <f aca="false">'2. Normalized Matrix'!J6*Weights!$B$10</f>
        <v>0.0255119794139525</v>
      </c>
      <c r="K6" s="4" t="n">
        <f aca="false">'2. Normalized Matrix'!K6*Weights!$B$11</f>
        <v>0.0253993439222429</v>
      </c>
    </row>
    <row r="7" customFormat="false" ht="15" hidden="false" customHeight="false" outlineLevel="0" collapsed="false">
      <c r="A7" s="3" t="n">
        <f aca="false">'2. Normalized Matrix'!A7</f>
        <v>3</v>
      </c>
      <c r="B7" s="3" t="str">
        <f aca="false">'2. Normalized Matrix'!B7</f>
        <v>IoT Sensors</v>
      </c>
      <c r="C7" s="3" t="str">
        <f aca="false">'2. Normalized Matrix'!C7</f>
        <v>Logistics Management</v>
      </c>
      <c r="D7" s="4" t="n">
        <f aca="false">'2. Normalized Matrix'!D7*Weights!$B$4</f>
        <v>0.0209300174023404</v>
      </c>
      <c r="E7" s="4" t="n">
        <f aca="false">'2. Normalized Matrix'!E7*Weights!$B$5</f>
        <v>0.0256759083645438</v>
      </c>
      <c r="F7" s="4" t="n">
        <f aca="false">'2. Normalized Matrix'!F7*Weights!$B$6</f>
        <v>0.0248380904314742</v>
      </c>
      <c r="G7" s="4" t="n">
        <f aca="false">'2. Normalized Matrix'!G7*Weights!$B$7</f>
        <v>0.0250154365006717</v>
      </c>
      <c r="H7" s="4" t="n">
        <f aca="false">'2. Normalized Matrix'!H7*Weights!$B$8</f>
        <v>0.0260547132974164</v>
      </c>
      <c r="I7" s="4" t="n">
        <f aca="false">'2. Normalized Matrix'!I7*Weights!$B$9</f>
        <v>0.0258400399147114</v>
      </c>
      <c r="J7" s="4" t="n">
        <f aca="false">'2. Normalized Matrix'!J7*Weights!$B$10</f>
        <v>0.0254020139854441</v>
      </c>
      <c r="K7" s="4" t="n">
        <f aca="false">'2. Normalized Matrix'!K7*Weights!$B$11</f>
        <v>0.0249045515081732</v>
      </c>
    </row>
    <row r="8" customFormat="false" ht="15" hidden="false" customHeight="false" outlineLevel="0" collapsed="false">
      <c r="A8" s="3" t="n">
        <f aca="false">'2. Normalized Matrix'!A8</f>
        <v>4</v>
      </c>
      <c r="B8" s="3" t="str">
        <f aca="false">'2. Normalized Matrix'!B8</f>
        <v>IoT Sensors</v>
      </c>
      <c r="C8" s="3" t="str">
        <f aca="false">'2. Normalized Matrix'!C8</f>
        <v>Supplier Management</v>
      </c>
      <c r="D8" s="4" t="n">
        <f aca="false">'2. Normalized Matrix'!D8*Weights!$B$4</f>
        <v>0.0212596239756056</v>
      </c>
      <c r="E8" s="4" t="n">
        <f aca="false">'2. Normalized Matrix'!E8*Weights!$B$5</f>
        <v>0.0254010057053945</v>
      </c>
      <c r="F8" s="4" t="n">
        <f aca="false">'2. Normalized Matrix'!F8*Weights!$B$6</f>
        <v>0.0250578965414872</v>
      </c>
      <c r="G8" s="4" t="n">
        <f aca="false">'2. Normalized Matrix'!G8*Weights!$B$7</f>
        <v>0.0250704154819918</v>
      </c>
      <c r="H8" s="4" t="n">
        <f aca="false">'2. Normalized Matrix'!H8*Weights!$B$8</f>
        <v>0.0252851648033999</v>
      </c>
      <c r="I8" s="4" t="n">
        <f aca="false">'2. Normalized Matrix'!I8*Weights!$B$9</f>
        <v>0.0254551882564072</v>
      </c>
      <c r="J8" s="4" t="n">
        <f aca="false">'2. Normalized Matrix'!J8*Weights!$B$10</f>
        <v>0.0251271004141731</v>
      </c>
      <c r="K8" s="4" t="n">
        <f aca="false">'2. Normalized Matrix'!K8*Weights!$B$11</f>
        <v>0.0250145053779665</v>
      </c>
    </row>
    <row r="9" customFormat="false" ht="15" hidden="false" customHeight="false" outlineLevel="0" collapsed="false">
      <c r="A9" s="3" t="n">
        <f aca="false">'2. Normalized Matrix'!A9</f>
        <v>5</v>
      </c>
      <c r="B9" s="3" t="str">
        <f aca="false">'2. Normalized Matrix'!B9</f>
        <v>IoT Sensors</v>
      </c>
      <c r="C9" s="3" t="str">
        <f aca="false">'2. Normalized Matrix'!C9</f>
        <v>Just-in-Time</v>
      </c>
      <c r="D9" s="4" t="n">
        <f aca="false">'2. Normalized Matrix'!D9*Weights!$B$4</f>
        <v>0.0215342961199933</v>
      </c>
      <c r="E9" s="4" t="n">
        <f aca="false">'2. Normalized Matrix'!E9*Weights!$B$5</f>
        <v>0.0253460251735647</v>
      </c>
      <c r="F9" s="4" t="n">
        <f aca="false">'2. Normalized Matrix'!F9*Weights!$B$6</f>
        <v>0.0241237205739318</v>
      </c>
      <c r="G9" s="4" t="n">
        <f aca="false">'2. Normalized Matrix'!G9*Weights!$B$7</f>
        <v>0.0246855626127507</v>
      </c>
      <c r="H9" s="4" t="n">
        <f aca="false">'2. Normalized Matrix'!H9*Weights!$B$8</f>
        <v>0.0262196165461342</v>
      </c>
      <c r="I9" s="4" t="n">
        <f aca="false">'2. Normalized Matrix'!I9*Weights!$B$9</f>
        <v>0.0255101670647363</v>
      </c>
      <c r="J9" s="4" t="n">
        <f aca="false">'2. Normalized Matrix'!J9*Weights!$B$10</f>
        <v>0.0252920485569357</v>
      </c>
      <c r="K9" s="4" t="n">
        <f aca="false">'2. Normalized Matrix'!K9*Weights!$B$11</f>
        <v>0.0255642747269327</v>
      </c>
    </row>
    <row r="10" customFormat="false" ht="15" hidden="false" customHeight="false" outlineLevel="0" collapsed="false">
      <c r="A10" s="3" t="n">
        <f aca="false">'2. Normalized Matrix'!A10</f>
        <v>6</v>
      </c>
      <c r="B10" s="3" t="str">
        <f aca="false">'2. Normalized Matrix'!B10</f>
        <v>RFID</v>
      </c>
      <c r="C10" s="3" t="str">
        <f aca="false">'2. Normalized Matrix'!C10</f>
        <v>Procurement Management</v>
      </c>
      <c r="D10" s="4" t="n">
        <f aca="false">'2. Normalized Matrix'!D10*Weights!$B$4</f>
        <v>0.0227977879841765</v>
      </c>
      <c r="E10" s="4" t="n">
        <f aca="false">'2. Normalized Matrix'!E10*Weights!$B$5</f>
        <v>0.025236064109905</v>
      </c>
      <c r="F10" s="4" t="n">
        <f aca="false">'2. Normalized Matrix'!F10*Weights!$B$6</f>
        <v>0.0252777026515003</v>
      </c>
      <c r="G10" s="4" t="n">
        <f aca="false">'2. Normalized Matrix'!G10*Weights!$B$7</f>
        <v>0.0252903314072725</v>
      </c>
      <c r="H10" s="4" t="n">
        <f aca="false">'2. Normalized Matrix'!H10*Weights!$B$8</f>
        <v>0.024570584058956</v>
      </c>
      <c r="I10" s="4" t="n">
        <f aca="false">'2. Normalized Matrix'!I10*Weights!$B$9</f>
        <v>0.0257850611063822</v>
      </c>
      <c r="J10" s="4" t="n">
        <f aca="false">'2. Normalized Matrix'!J10*Weights!$B$10</f>
        <v>0.0251820831284273</v>
      </c>
      <c r="K10" s="4" t="n">
        <f aca="false">'2. Normalized Matrix'!K10*Weights!$B$11</f>
        <v>0.025234413117553</v>
      </c>
    </row>
    <row r="11" customFormat="false" ht="15" hidden="false" customHeight="false" outlineLevel="0" collapsed="false">
      <c r="A11" s="3" t="n">
        <f aca="false">'2. Normalized Matrix'!A11</f>
        <v>7</v>
      </c>
      <c r="B11" s="3" t="str">
        <f aca="false">'2. Normalized Matrix'!B11</f>
        <v>RFID</v>
      </c>
      <c r="C11" s="3" t="str">
        <f aca="false">'2. Normalized Matrix'!C11</f>
        <v>Inventory Management</v>
      </c>
      <c r="D11" s="4" t="n">
        <f aca="false">'2. Normalized Matrix'!D11*Weights!$B$4</f>
        <v>0.0229076568419316</v>
      </c>
      <c r="E11" s="4" t="n">
        <f aca="false">'2. Normalized Matrix'!E11*Weights!$B$5</f>
        <v>0.025620927832714</v>
      </c>
      <c r="F11" s="4" t="n">
        <f aca="false">'2. Normalized Matrix'!F11*Weights!$B$6</f>
        <v>0.0251677995964938</v>
      </c>
      <c r="G11" s="4" t="n">
        <f aca="false">'2. Normalized Matrix'!G11*Weights!$B$7</f>
        <v>0.0257301632578337</v>
      </c>
      <c r="H11" s="4" t="n">
        <f aca="false">'2. Normalized Matrix'!H11*Weights!$B$8</f>
        <v>0.0258348422991259</v>
      </c>
      <c r="I11" s="4" t="n">
        <f aca="false">'2. Normalized Matrix'!I11*Weights!$B$9</f>
        <v>0.0263898279980031</v>
      </c>
      <c r="J11" s="4" t="n">
        <f aca="false">'2. Normalized Matrix'!J11*Weights!$B$10</f>
        <v>0.025621944842461</v>
      </c>
      <c r="K11" s="4" t="n">
        <f aca="false">'2. Normalized Matrix'!K11*Weights!$B$11</f>
        <v>0.0259491132712092</v>
      </c>
    </row>
    <row r="12" customFormat="false" ht="15" hidden="false" customHeight="false" outlineLevel="0" collapsed="false">
      <c r="A12" s="3" t="n">
        <f aca="false">'2. Normalized Matrix'!A12</f>
        <v>8</v>
      </c>
      <c r="B12" s="3" t="str">
        <f aca="false">'2. Normalized Matrix'!B12</f>
        <v>RFID</v>
      </c>
      <c r="C12" s="3" t="str">
        <f aca="false">'2. Normalized Matrix'!C12</f>
        <v>Logistics Management</v>
      </c>
      <c r="D12" s="4" t="n">
        <f aca="false">'2. Normalized Matrix'!D12*Weights!$B$4</f>
        <v>0.0225231158397889</v>
      </c>
      <c r="E12" s="4" t="n">
        <f aca="false">'2. Normalized Matrix'!E12*Weights!$B$5</f>
        <v>0.0256759083645438</v>
      </c>
      <c r="F12" s="4" t="n">
        <f aca="false">'2. Normalized Matrix'!F12*Weights!$B$6</f>
        <v>0.025222751123997</v>
      </c>
      <c r="G12" s="4" t="n">
        <f aca="false">'2. Normalized Matrix'!G12*Weights!$B$7</f>
        <v>0.0252903314072725</v>
      </c>
      <c r="H12" s="4" t="n">
        <f aca="false">'2. Normalized Matrix'!H12*Weights!$B$8</f>
        <v>0.0260547132974164</v>
      </c>
      <c r="I12" s="4" t="n">
        <f aca="false">'2. Normalized Matrix'!I12*Weights!$B$9</f>
        <v>0.0262248915730156</v>
      </c>
      <c r="J12" s="4" t="n">
        <f aca="false">'2. Normalized Matrix'!J12*Weights!$B$10</f>
        <v>0.0255119794139525</v>
      </c>
      <c r="K12" s="4" t="n">
        <f aca="false">'2. Normalized Matrix'!K12*Weights!$B$11</f>
        <v>0.0254543208571395</v>
      </c>
    </row>
    <row r="13" customFormat="false" ht="15" hidden="false" customHeight="false" outlineLevel="0" collapsed="false">
      <c r="A13" s="3" t="n">
        <f aca="false">'2. Normalized Matrix'!A13</f>
        <v>9</v>
      </c>
      <c r="B13" s="3" t="str">
        <f aca="false">'2. Normalized Matrix'!B13</f>
        <v>RFID</v>
      </c>
      <c r="C13" s="3" t="str">
        <f aca="false">'2. Normalized Matrix'!C13</f>
        <v>Supplier Management</v>
      </c>
      <c r="D13" s="4" t="n">
        <f aca="false">'2. Normalized Matrix'!D13*Weights!$B$4</f>
        <v>0.0228527224130541</v>
      </c>
      <c r="E13" s="4" t="n">
        <f aca="false">'2. Normalized Matrix'!E13*Weights!$B$5</f>
        <v>0.0254010057053945</v>
      </c>
      <c r="F13" s="4" t="n">
        <f aca="false">'2. Normalized Matrix'!F13*Weights!$B$6</f>
        <v>0.0254425572340101</v>
      </c>
      <c r="G13" s="4" t="n">
        <f aca="false">'2. Normalized Matrix'!G13*Weights!$B$7</f>
        <v>0.0253453103885926</v>
      </c>
      <c r="H13" s="4" t="n">
        <f aca="false">'2. Normalized Matrix'!H13*Weights!$B$8</f>
        <v>0.0252851648033999</v>
      </c>
      <c r="I13" s="4" t="n">
        <f aca="false">'2. Normalized Matrix'!I13*Weights!$B$9</f>
        <v>0.0258400399147114</v>
      </c>
      <c r="J13" s="4" t="n">
        <f aca="false">'2. Normalized Matrix'!J13*Weights!$B$10</f>
        <v>0.0252370658426815</v>
      </c>
      <c r="K13" s="4" t="n">
        <f aca="false">'2. Normalized Matrix'!K13*Weights!$B$11</f>
        <v>0.0255642747269328</v>
      </c>
    </row>
    <row r="14" customFormat="false" ht="15" hidden="false" customHeight="false" outlineLevel="0" collapsed="false">
      <c r="A14" s="3" t="n">
        <f aca="false">'2. Normalized Matrix'!A14</f>
        <v>10</v>
      </c>
      <c r="B14" s="3" t="str">
        <f aca="false">'2. Normalized Matrix'!B14</f>
        <v>RFID</v>
      </c>
      <c r="C14" s="3" t="str">
        <f aca="false">'2. Normalized Matrix'!C14</f>
        <v>Just-in-Time</v>
      </c>
      <c r="D14" s="4" t="n">
        <f aca="false">'2. Normalized Matrix'!D14*Weights!$B$4</f>
        <v>0.0231273945574417</v>
      </c>
      <c r="E14" s="4" t="n">
        <f aca="false">'2. Normalized Matrix'!E14*Weights!$B$5</f>
        <v>0.0253460251735647</v>
      </c>
      <c r="F14" s="4" t="n">
        <f aca="false">'2. Normalized Matrix'!F14*Weights!$B$6</f>
        <v>0.0245083812664546</v>
      </c>
      <c r="G14" s="4" t="n">
        <f aca="false">'2. Normalized Matrix'!G14*Weights!$B$7</f>
        <v>0.0249604575193515</v>
      </c>
      <c r="H14" s="4" t="n">
        <f aca="false">'2. Normalized Matrix'!H14*Weights!$B$8</f>
        <v>0.0262196165461342</v>
      </c>
      <c r="I14" s="4" t="n">
        <f aca="false">'2. Normalized Matrix'!I14*Weights!$B$9</f>
        <v>0.0258950187230405</v>
      </c>
      <c r="J14" s="4" t="n">
        <f aca="false">'2. Normalized Matrix'!J14*Weights!$B$10</f>
        <v>0.0254020139854441</v>
      </c>
      <c r="K14" s="4" t="n">
        <f aca="false">'2. Normalized Matrix'!K14*Weights!$B$11</f>
        <v>0.026114044075899</v>
      </c>
    </row>
    <row r="15" customFormat="false" ht="15" hidden="false" customHeight="false" outlineLevel="0" collapsed="false">
      <c r="A15" s="3" t="n">
        <f aca="false">'2. Normalized Matrix'!A15</f>
        <v>11</v>
      </c>
      <c r="B15" s="3" t="str">
        <f aca="false">'2. Normalized Matrix'!B15</f>
        <v>GPS</v>
      </c>
      <c r="C15" s="3" t="str">
        <f aca="false">'2. Normalized Matrix'!C15</f>
        <v>Procurement Management</v>
      </c>
      <c r="D15" s="4" t="n">
        <f aca="false">'2. Normalized Matrix'!D15*Weights!$B$4</f>
        <v>0.0224132469820338</v>
      </c>
      <c r="E15" s="4" t="n">
        <f aca="false">'2. Normalized Matrix'!E15*Weights!$B$5</f>
        <v>0.0258958304918633</v>
      </c>
      <c r="F15" s="4" t="n">
        <f aca="false">'2. Normalized Matrix'!F15*Weights!$B$6</f>
        <v>0.0254425572340101</v>
      </c>
      <c r="G15" s="4" t="n">
        <f aca="false">'2. Normalized Matrix'!G15*Weights!$B$7</f>
        <v>0.0252903314072725</v>
      </c>
      <c r="H15" s="4" t="n">
        <f aca="false">'2. Normalized Matrix'!H15*Weights!$B$8</f>
        <v>0.0249553583059642</v>
      </c>
      <c r="I15" s="4" t="n">
        <f aca="false">'2. Normalized Matrix'!I15*Weights!$B$9</f>
        <v>0.0259499975313697</v>
      </c>
      <c r="J15" s="4" t="n">
        <f aca="false">'2. Normalized Matrix'!J15*Weights!$B$10</f>
        <v>0.0249071695571563</v>
      </c>
      <c r="K15" s="4" t="n">
        <f aca="false">'2. Normalized Matrix'!K15*Weights!$B$11</f>
        <v>0.025234413117553</v>
      </c>
    </row>
    <row r="16" customFormat="false" ht="15" hidden="false" customHeight="false" outlineLevel="0" collapsed="false">
      <c r="A16" s="3" t="n">
        <f aca="false">'2. Normalized Matrix'!A16</f>
        <v>12</v>
      </c>
      <c r="B16" s="3" t="str">
        <f aca="false">'2. Normalized Matrix'!B16</f>
        <v>GPS</v>
      </c>
      <c r="C16" s="3" t="str">
        <f aca="false">'2. Normalized Matrix'!C16</f>
        <v>Inventory Management</v>
      </c>
      <c r="D16" s="4" t="n">
        <f aca="false">'2. Normalized Matrix'!D16*Weights!$B$4</f>
        <v>0.0225231158397889</v>
      </c>
      <c r="E16" s="4" t="n">
        <f aca="false">'2. Normalized Matrix'!E16*Weights!$B$5</f>
        <v>0.0262806942146723</v>
      </c>
      <c r="F16" s="4" t="n">
        <f aca="false">'2. Normalized Matrix'!F16*Weights!$B$6</f>
        <v>0.0253326541790036</v>
      </c>
      <c r="G16" s="4" t="n">
        <f aca="false">'2. Normalized Matrix'!G16*Weights!$B$7</f>
        <v>0.0257301632578337</v>
      </c>
      <c r="H16" s="4" t="n">
        <f aca="false">'2. Normalized Matrix'!H16*Weights!$B$8</f>
        <v>0.0262196165461342</v>
      </c>
      <c r="I16" s="4" t="n">
        <f aca="false">'2. Normalized Matrix'!I16*Weights!$B$9</f>
        <v>0.0265547644229906</v>
      </c>
      <c r="J16" s="4" t="n">
        <f aca="false">'2. Normalized Matrix'!J16*Weights!$B$10</f>
        <v>0.0253470312711899</v>
      </c>
      <c r="K16" s="4" t="n">
        <f aca="false">'2. Normalized Matrix'!K16*Weights!$B$11</f>
        <v>0.0259491132712092</v>
      </c>
    </row>
    <row r="17" customFormat="false" ht="15" hidden="false" customHeight="false" outlineLevel="0" collapsed="false">
      <c r="A17" s="3" t="n">
        <f aca="false">'2. Normalized Matrix'!A17</f>
        <v>13</v>
      </c>
      <c r="B17" s="3" t="str">
        <f aca="false">'2. Normalized Matrix'!B17</f>
        <v>GPS</v>
      </c>
      <c r="C17" s="3" t="str">
        <f aca="false">'2. Normalized Matrix'!C17</f>
        <v>Logistics Management</v>
      </c>
      <c r="D17" s="4" t="n">
        <f aca="false">'2. Normalized Matrix'!D17*Weights!$B$4</f>
        <v>0.0221385748376461</v>
      </c>
      <c r="E17" s="4" t="n">
        <f aca="false">'2. Normalized Matrix'!E17*Weights!$B$5</f>
        <v>0.0263356747465021</v>
      </c>
      <c r="F17" s="4" t="n">
        <f aca="false">'2. Normalized Matrix'!F17*Weights!$B$6</f>
        <v>0.0253876057065068</v>
      </c>
      <c r="G17" s="4" t="n">
        <f aca="false">'2. Normalized Matrix'!G17*Weights!$B$7</f>
        <v>0.0252903314072725</v>
      </c>
      <c r="H17" s="4" t="n">
        <f aca="false">'2. Normalized Matrix'!H17*Weights!$B$8</f>
        <v>0.0264394875444246</v>
      </c>
      <c r="I17" s="4" t="n">
        <f aca="false">'2. Normalized Matrix'!I17*Weights!$B$9</f>
        <v>0.0263898279980031</v>
      </c>
      <c r="J17" s="4" t="n">
        <f aca="false">'2. Normalized Matrix'!J17*Weights!$B$10</f>
        <v>0.0252370658426815</v>
      </c>
      <c r="K17" s="4" t="n">
        <f aca="false">'2. Normalized Matrix'!K17*Weights!$B$11</f>
        <v>0.0254543208571395</v>
      </c>
    </row>
    <row r="18" customFormat="false" ht="15" hidden="false" customHeight="false" outlineLevel="0" collapsed="false">
      <c r="A18" s="3" t="n">
        <f aca="false">'2. Normalized Matrix'!A18</f>
        <v>14</v>
      </c>
      <c r="B18" s="3" t="str">
        <f aca="false">'2. Normalized Matrix'!B18</f>
        <v>GPS</v>
      </c>
      <c r="C18" s="3" t="str">
        <f aca="false">'2. Normalized Matrix'!C18</f>
        <v>Supplier Management</v>
      </c>
      <c r="D18" s="4" t="n">
        <f aca="false">'2. Normalized Matrix'!D18*Weights!$B$4</f>
        <v>0.0224681814109113</v>
      </c>
      <c r="E18" s="4" t="n">
        <f aca="false">'2. Normalized Matrix'!E18*Weights!$B$5</f>
        <v>0.0260607720873529</v>
      </c>
      <c r="F18" s="4" t="n">
        <f aca="false">'2. Normalized Matrix'!F18*Weights!$B$6</f>
        <v>0.0256074118165199</v>
      </c>
      <c r="G18" s="4" t="n">
        <f aca="false">'2. Normalized Matrix'!G18*Weights!$B$7</f>
        <v>0.0253453103885926</v>
      </c>
      <c r="H18" s="4" t="n">
        <f aca="false">'2. Normalized Matrix'!H18*Weights!$B$8</f>
        <v>0.0256699390504081</v>
      </c>
      <c r="I18" s="4" t="n">
        <f aca="false">'2. Normalized Matrix'!I18*Weights!$B$9</f>
        <v>0.0260049763396989</v>
      </c>
      <c r="J18" s="4" t="n">
        <f aca="false">'2. Normalized Matrix'!J18*Weights!$B$10</f>
        <v>0.0249621522714105</v>
      </c>
      <c r="K18" s="4" t="n">
        <f aca="false">'2. Normalized Matrix'!K18*Weights!$B$11</f>
        <v>0.0255642747269328</v>
      </c>
    </row>
    <row r="19" customFormat="false" ht="15" hidden="false" customHeight="false" outlineLevel="0" collapsed="false">
      <c r="A19" s="3" t="n">
        <f aca="false">'2. Normalized Matrix'!A19</f>
        <v>15</v>
      </c>
      <c r="B19" s="3" t="str">
        <f aca="false">'2. Normalized Matrix'!B19</f>
        <v>GPS</v>
      </c>
      <c r="C19" s="3" t="str">
        <f aca="false">'2. Normalized Matrix'!C19</f>
        <v>Just-in-Time</v>
      </c>
      <c r="D19" s="4" t="n">
        <f aca="false">'2. Normalized Matrix'!D19*Weights!$B$4</f>
        <v>0.022742853555299</v>
      </c>
      <c r="E19" s="4" t="n">
        <f aca="false">'2. Normalized Matrix'!E19*Weights!$B$5</f>
        <v>0.026005791555523</v>
      </c>
      <c r="F19" s="4" t="n">
        <f aca="false">'2. Normalized Matrix'!F19*Weights!$B$6</f>
        <v>0.0246732358489644</v>
      </c>
      <c r="G19" s="4" t="n">
        <f aca="false">'2. Normalized Matrix'!G19*Weights!$B$7</f>
        <v>0.0249604575193515</v>
      </c>
      <c r="H19" s="4" t="n">
        <f aca="false">'2. Normalized Matrix'!H19*Weights!$B$8</f>
        <v>0.0266043907931424</v>
      </c>
      <c r="I19" s="4" t="n">
        <f aca="false">'2. Normalized Matrix'!I19*Weights!$B$9</f>
        <v>0.026059955148028</v>
      </c>
      <c r="J19" s="4" t="n">
        <f aca="false">'2. Normalized Matrix'!J19*Weights!$B$10</f>
        <v>0.0251271004141731</v>
      </c>
      <c r="K19" s="4" t="n">
        <f aca="false">'2. Normalized Matrix'!K19*Weights!$B$11</f>
        <v>0.026114044075899</v>
      </c>
    </row>
    <row r="20" customFormat="false" ht="15" hidden="false" customHeight="false" outlineLevel="0" collapsed="false">
      <c r="A20" s="3" t="n">
        <f aca="false">'2. Normalized Matrix'!A20</f>
        <v>16</v>
      </c>
      <c r="B20" s="3" t="str">
        <f aca="false">'2. Normalized Matrix'!B20</f>
        <v>BIM-IoT integration</v>
      </c>
      <c r="C20" s="3" t="str">
        <f aca="false">'2. Normalized Matrix'!C20</f>
        <v>Procurement Management</v>
      </c>
      <c r="D20" s="4" t="n">
        <f aca="false">'2. Normalized Matrix'!D20*Weights!$B$4</f>
        <v>0.0207652141157078</v>
      </c>
      <c r="E20" s="4" t="n">
        <f aca="false">'2. Normalized Matrix'!E20*Weights!$B$5</f>
        <v>0.0253460251735647</v>
      </c>
      <c r="F20" s="4" t="n">
        <f aca="false">'2. Normalized Matrix'!F20*Weights!$B$6</f>
        <v>0.0232444961338796</v>
      </c>
      <c r="G20" s="4" t="n">
        <f aca="false">'2. Normalized Matrix'!G20*Weights!$B$7</f>
        <v>0.0257301632578337</v>
      </c>
      <c r="H20" s="4" t="n">
        <f aca="false">'2. Normalized Matrix'!H20*Weights!$B$8</f>
        <v>0.0249003905563916</v>
      </c>
      <c r="I20" s="4" t="n">
        <f aca="false">'2. Normalized Matrix'!I20*Weights!$B$9</f>
        <v>0.0262798703813448</v>
      </c>
      <c r="J20" s="4" t="n">
        <f aca="false">'2. Normalized Matrix'!J20*Weights!$B$10</f>
        <v>0.0251271004141731</v>
      </c>
      <c r="K20" s="4" t="n">
        <f aca="false">'2. Normalized Matrix'!K20*Weights!$B$11</f>
        <v>0.0255092977920361</v>
      </c>
    </row>
    <row r="21" customFormat="false" ht="15" hidden="false" customHeight="false" outlineLevel="0" collapsed="false">
      <c r="A21" s="3" t="n">
        <f aca="false">'2. Normalized Matrix'!A21</f>
        <v>17</v>
      </c>
      <c r="B21" s="3" t="str">
        <f aca="false">'2. Normalized Matrix'!B21</f>
        <v>BIM-IoT integration</v>
      </c>
      <c r="C21" s="3" t="str">
        <f aca="false">'2. Normalized Matrix'!C21</f>
        <v>Inventory Management</v>
      </c>
      <c r="D21" s="4" t="n">
        <f aca="false">'2. Normalized Matrix'!D21*Weights!$B$4</f>
        <v>0.0208750829734629</v>
      </c>
      <c r="E21" s="4" t="n">
        <f aca="false">'2. Normalized Matrix'!E21*Weights!$B$5</f>
        <v>0.0257308888963737</v>
      </c>
      <c r="F21" s="4" t="n">
        <f aca="false">'2. Normalized Matrix'!F21*Weights!$B$6</f>
        <v>0.0231345930788731</v>
      </c>
      <c r="G21" s="4" t="n">
        <f aca="false">'2. Normalized Matrix'!G21*Weights!$B$7</f>
        <v>0.026169995108395</v>
      </c>
      <c r="H21" s="4" t="n">
        <f aca="false">'2. Normalized Matrix'!H21*Weights!$B$8</f>
        <v>0.0261646487965616</v>
      </c>
      <c r="I21" s="4" t="n">
        <f aca="false">'2. Normalized Matrix'!I21*Weights!$B$9</f>
        <v>0.0268846372729657</v>
      </c>
      <c r="J21" s="4" t="n">
        <f aca="false">'2. Normalized Matrix'!J21*Weights!$B$10</f>
        <v>0.0255669621282068</v>
      </c>
      <c r="K21" s="4" t="n">
        <f aca="false">'2. Normalized Matrix'!K21*Weights!$B$11</f>
        <v>0.0262239979456923</v>
      </c>
    </row>
    <row r="22" customFormat="false" ht="15" hidden="false" customHeight="false" outlineLevel="0" collapsed="false">
      <c r="A22" s="3" t="n">
        <f aca="false">'2. Normalized Matrix'!A22</f>
        <v>18</v>
      </c>
      <c r="B22" s="3" t="str">
        <f aca="false">'2. Normalized Matrix'!B22</f>
        <v>BIM-IoT integration</v>
      </c>
      <c r="C22" s="3" t="str">
        <f aca="false">'2. Normalized Matrix'!C22</f>
        <v>Logistics Management</v>
      </c>
      <c r="D22" s="4" t="n">
        <f aca="false">'2. Normalized Matrix'!D22*Weights!$B$4</f>
        <v>0.0204905419713201</v>
      </c>
      <c r="E22" s="4" t="n">
        <f aca="false">'2. Normalized Matrix'!E22*Weights!$B$5</f>
        <v>0.0257858694282035</v>
      </c>
      <c r="F22" s="4" t="n">
        <f aca="false">'2. Normalized Matrix'!F22*Weights!$B$6</f>
        <v>0.0231895446063763</v>
      </c>
      <c r="G22" s="4" t="n">
        <f aca="false">'2. Normalized Matrix'!G22*Weights!$B$7</f>
        <v>0.0257301632578337</v>
      </c>
      <c r="H22" s="4" t="n">
        <f aca="false">'2. Normalized Matrix'!H22*Weights!$B$8</f>
        <v>0.026384519794852</v>
      </c>
      <c r="I22" s="4" t="n">
        <f aca="false">'2. Normalized Matrix'!I22*Weights!$B$9</f>
        <v>0.0267197008479781</v>
      </c>
      <c r="J22" s="4" t="n">
        <f aca="false">'2. Normalized Matrix'!J22*Weights!$B$10</f>
        <v>0.0254569966996983</v>
      </c>
      <c r="K22" s="4" t="n">
        <f aca="false">'2. Normalized Matrix'!K22*Weights!$B$11</f>
        <v>0.0257292055316227</v>
      </c>
    </row>
    <row r="23" customFormat="false" ht="15" hidden="false" customHeight="false" outlineLevel="0" collapsed="false">
      <c r="A23" s="3" t="n">
        <f aca="false">'2. Normalized Matrix'!A23</f>
        <v>19</v>
      </c>
      <c r="B23" s="3" t="str">
        <f aca="false">'2. Normalized Matrix'!B23</f>
        <v>BIM-IoT integration</v>
      </c>
      <c r="C23" s="3" t="str">
        <f aca="false">'2. Normalized Matrix'!C23</f>
        <v>Supplier Management</v>
      </c>
      <c r="D23" s="4" t="n">
        <f aca="false">'2. Normalized Matrix'!D23*Weights!$B$4</f>
        <v>0.0208201485445853</v>
      </c>
      <c r="E23" s="4" t="n">
        <f aca="false">'2. Normalized Matrix'!E23*Weights!$B$5</f>
        <v>0.0255109667690543</v>
      </c>
      <c r="F23" s="4" t="n">
        <f aca="false">'2. Normalized Matrix'!F23*Weights!$B$6</f>
        <v>0.0234093507163894</v>
      </c>
      <c r="G23" s="4" t="n">
        <f aca="false">'2. Normalized Matrix'!G23*Weights!$B$7</f>
        <v>0.0257851422391539</v>
      </c>
      <c r="H23" s="4" t="n">
        <f aca="false">'2. Normalized Matrix'!H23*Weights!$B$8</f>
        <v>0.0256149713008355</v>
      </c>
      <c r="I23" s="4" t="n">
        <f aca="false">'2. Normalized Matrix'!I23*Weights!$B$9</f>
        <v>0.0263348491896739</v>
      </c>
      <c r="J23" s="4" t="n">
        <f aca="false">'2. Normalized Matrix'!J23*Weights!$B$10</f>
        <v>0.0251820831284273</v>
      </c>
      <c r="K23" s="4" t="n">
        <f aca="false">'2. Normalized Matrix'!K23*Weights!$B$11</f>
        <v>0.0258391594014159</v>
      </c>
    </row>
    <row r="24" customFormat="false" ht="15" hidden="false" customHeight="false" outlineLevel="0" collapsed="false">
      <c r="A24" s="3" t="n">
        <f aca="false">'2. Normalized Matrix'!A24</f>
        <v>20</v>
      </c>
      <c r="B24" s="3" t="str">
        <f aca="false">'2. Normalized Matrix'!B24</f>
        <v>BIM-IoT integration</v>
      </c>
      <c r="C24" s="3" t="str">
        <f aca="false">'2. Normalized Matrix'!C24</f>
        <v>Just-in-Time</v>
      </c>
      <c r="D24" s="4" t="n">
        <f aca="false">'2. Normalized Matrix'!D24*Weights!$B$4</f>
        <v>0.021094820688973</v>
      </c>
      <c r="E24" s="4" t="n">
        <f aca="false">'2. Normalized Matrix'!E24*Weights!$B$5</f>
        <v>0.0254559862372244</v>
      </c>
      <c r="F24" s="4" t="n">
        <f aca="false">'2. Normalized Matrix'!F24*Weights!$B$6</f>
        <v>0.022475174748834</v>
      </c>
      <c r="G24" s="4" t="n">
        <f aca="false">'2. Normalized Matrix'!G24*Weights!$B$7</f>
        <v>0.0254002893699128</v>
      </c>
      <c r="H24" s="4" t="n">
        <f aca="false">'2. Normalized Matrix'!H24*Weights!$B$8</f>
        <v>0.0265494230435698</v>
      </c>
      <c r="I24" s="4" t="n">
        <f aca="false">'2. Normalized Matrix'!I24*Weights!$B$9</f>
        <v>0.0263898279980031</v>
      </c>
      <c r="J24" s="4" t="n">
        <f aca="false">'2. Normalized Matrix'!J24*Weights!$B$10</f>
        <v>0.0253470312711899</v>
      </c>
      <c r="K24" s="4" t="n">
        <f aca="false">'2. Normalized Matrix'!K24*Weights!$B$11</f>
        <v>0.0263889287503822</v>
      </c>
    </row>
    <row r="25" customFormat="false" ht="15" hidden="false" customHeight="false" outlineLevel="0" collapsed="false">
      <c r="A25" s="3" t="n">
        <f aca="false">'2. Normalized Matrix'!A25</f>
        <v>21</v>
      </c>
      <c r="B25" s="3" t="str">
        <f aca="false">'2. Normalized Matrix'!B25</f>
        <v>Cloud computing</v>
      </c>
      <c r="C25" s="3" t="str">
        <f aca="false">'2. Normalized Matrix'!C25</f>
        <v>Procurement Management</v>
      </c>
      <c r="D25" s="4" t="n">
        <f aca="false">'2. Normalized Matrix'!D25*Weights!$B$4</f>
        <v>0.0205454764001977</v>
      </c>
      <c r="E25" s="4" t="n">
        <f aca="false">'2. Normalized Matrix'!E25*Weights!$B$5</f>
        <v>0.0252910446417349</v>
      </c>
      <c r="F25" s="4" t="n">
        <f aca="false">'2. Normalized Matrix'!F25*Weights!$B$6</f>
        <v>0.0245083812664546</v>
      </c>
      <c r="G25" s="4" t="n">
        <f aca="false">'2. Normalized Matrix'!G25*Weights!$B$7</f>
        <v>0.0256202052951934</v>
      </c>
      <c r="H25" s="4" t="n">
        <f aca="false">'2. Normalized Matrix'!H25*Weights!$B$8</f>
        <v>0.0250652938051094</v>
      </c>
      <c r="I25" s="4" t="n">
        <f aca="false">'2. Normalized Matrix'!I25*Weights!$B$9</f>
        <v>0.0258950187230406</v>
      </c>
      <c r="J25" s="4" t="n">
        <f aca="false">'2. Normalized Matrix'!J25*Weights!$B$10</f>
        <v>0.0249621522714105</v>
      </c>
      <c r="K25" s="4" t="n">
        <f aca="false">'2. Normalized Matrix'!K25*Weights!$B$11</f>
        <v>0.0251794361826564</v>
      </c>
    </row>
    <row r="26" customFormat="false" ht="15" hidden="false" customHeight="false" outlineLevel="0" collapsed="false">
      <c r="A26" s="3" t="n">
        <f aca="false">'2. Normalized Matrix'!A26</f>
        <v>22</v>
      </c>
      <c r="B26" s="3" t="str">
        <f aca="false">'2. Normalized Matrix'!B26</f>
        <v>Cloud computing</v>
      </c>
      <c r="C26" s="3" t="str">
        <f aca="false">'2. Normalized Matrix'!C26</f>
        <v>Inventory Management</v>
      </c>
      <c r="D26" s="4" t="n">
        <f aca="false">'2. Normalized Matrix'!D26*Weights!$B$4</f>
        <v>0.0206553452579527</v>
      </c>
      <c r="E26" s="4" t="n">
        <f aca="false">'2. Normalized Matrix'!E26*Weights!$B$5</f>
        <v>0.0256759083645439</v>
      </c>
      <c r="F26" s="4" t="n">
        <f aca="false">'2. Normalized Matrix'!F26*Weights!$B$6</f>
        <v>0.0243984782114481</v>
      </c>
      <c r="G26" s="4" t="n">
        <f aca="false">'2. Normalized Matrix'!G26*Weights!$B$7</f>
        <v>0.0260600371457547</v>
      </c>
      <c r="H26" s="4" t="n">
        <f aca="false">'2. Normalized Matrix'!H26*Weights!$B$8</f>
        <v>0.0263295520452794</v>
      </c>
      <c r="I26" s="4" t="n">
        <f aca="false">'2. Normalized Matrix'!I26*Weights!$B$9</f>
        <v>0.0264997856146615</v>
      </c>
      <c r="J26" s="4" t="n">
        <f aca="false">'2. Normalized Matrix'!J26*Weights!$B$10</f>
        <v>0.0254020139854441</v>
      </c>
      <c r="K26" s="4" t="n">
        <f aca="false">'2. Normalized Matrix'!K26*Weights!$B$11</f>
        <v>0.0258941363363126</v>
      </c>
    </row>
    <row r="27" customFormat="false" ht="15" hidden="false" customHeight="false" outlineLevel="0" collapsed="false">
      <c r="A27" s="3" t="n">
        <f aca="false">'2. Normalized Matrix'!A27</f>
        <v>23</v>
      </c>
      <c r="B27" s="3" t="str">
        <f aca="false">'2. Normalized Matrix'!B27</f>
        <v>Cloud computing</v>
      </c>
      <c r="C27" s="3" t="str">
        <f aca="false">'2. Normalized Matrix'!C27</f>
        <v>Logistics Management</v>
      </c>
      <c r="D27" s="4" t="n">
        <f aca="false">'2. Normalized Matrix'!D27*Weights!$B$4</f>
        <v>0.02027080425581</v>
      </c>
      <c r="E27" s="4" t="n">
        <f aca="false">'2. Normalized Matrix'!E27*Weights!$B$5</f>
        <v>0.0257308888963737</v>
      </c>
      <c r="F27" s="4" t="n">
        <f aca="false">'2. Normalized Matrix'!F27*Weights!$B$6</f>
        <v>0.0244534297389514</v>
      </c>
      <c r="G27" s="4" t="n">
        <f aca="false">'2. Normalized Matrix'!G27*Weights!$B$7</f>
        <v>0.0256202052951934</v>
      </c>
      <c r="H27" s="4" t="n">
        <f aca="false">'2. Normalized Matrix'!H27*Weights!$B$8</f>
        <v>0.0265494230435698</v>
      </c>
      <c r="I27" s="4" t="n">
        <f aca="false">'2. Normalized Matrix'!I27*Weights!$B$9</f>
        <v>0.0263348491896739</v>
      </c>
      <c r="J27" s="4" t="n">
        <f aca="false">'2. Normalized Matrix'!J27*Weights!$B$10</f>
        <v>0.0252920485569357</v>
      </c>
      <c r="K27" s="4" t="n">
        <f aca="false">'2. Normalized Matrix'!K27*Weights!$B$11</f>
        <v>0.0253993439222429</v>
      </c>
    </row>
    <row r="28" customFormat="false" ht="15" hidden="false" customHeight="false" outlineLevel="0" collapsed="false">
      <c r="A28" s="3" t="n">
        <f aca="false">'2. Normalized Matrix'!A28</f>
        <v>24</v>
      </c>
      <c r="B28" s="3" t="str">
        <f aca="false">'2. Normalized Matrix'!B28</f>
        <v>Cloud computing</v>
      </c>
      <c r="C28" s="3" t="str">
        <f aca="false">'2. Normalized Matrix'!C28</f>
        <v>Supplier Management</v>
      </c>
      <c r="D28" s="4" t="n">
        <f aca="false">'2. Normalized Matrix'!D28*Weights!$B$4</f>
        <v>0.0206004108290752</v>
      </c>
      <c r="E28" s="4" t="n">
        <f aca="false">'2. Normalized Matrix'!E28*Weights!$B$5</f>
        <v>0.0254559862372244</v>
      </c>
      <c r="F28" s="4" t="n">
        <f aca="false">'2. Normalized Matrix'!F28*Weights!$B$6</f>
        <v>0.0246732358489644</v>
      </c>
      <c r="G28" s="4" t="n">
        <f aca="false">'2. Normalized Matrix'!G28*Weights!$B$7</f>
        <v>0.0256751842765136</v>
      </c>
      <c r="H28" s="4" t="n">
        <f aca="false">'2. Normalized Matrix'!H28*Weights!$B$8</f>
        <v>0.0257798745495533</v>
      </c>
      <c r="I28" s="4" t="n">
        <f aca="false">'2. Normalized Matrix'!I28*Weights!$B$9</f>
        <v>0.0259499975313697</v>
      </c>
      <c r="J28" s="4" t="n">
        <f aca="false">'2. Normalized Matrix'!J28*Weights!$B$10</f>
        <v>0.0250171349856647</v>
      </c>
      <c r="K28" s="4" t="n">
        <f aca="false">'2. Normalized Matrix'!K28*Weights!$B$11</f>
        <v>0.0255092977920362</v>
      </c>
    </row>
    <row r="29" customFormat="false" ht="15" hidden="false" customHeight="false" outlineLevel="0" collapsed="false">
      <c r="A29" s="3" t="n">
        <f aca="false">'2. Normalized Matrix'!A29</f>
        <v>25</v>
      </c>
      <c r="B29" s="3" t="str">
        <f aca="false">'2. Normalized Matrix'!B29</f>
        <v>Cloud computing</v>
      </c>
      <c r="C29" s="3" t="str">
        <f aca="false">'2. Normalized Matrix'!C29</f>
        <v>Just-in-Time</v>
      </c>
      <c r="D29" s="4" t="n">
        <f aca="false">'2. Normalized Matrix'!D29*Weights!$B$4</f>
        <v>0.0208750829734629</v>
      </c>
      <c r="E29" s="4" t="n">
        <f aca="false">'2. Normalized Matrix'!E29*Weights!$B$5</f>
        <v>0.0254010057053946</v>
      </c>
      <c r="F29" s="4" t="n">
        <f aca="false">'2. Normalized Matrix'!F29*Weights!$B$6</f>
        <v>0.023739059881409</v>
      </c>
      <c r="G29" s="4" t="n">
        <f aca="false">'2. Normalized Matrix'!G29*Weights!$B$7</f>
        <v>0.0252903314072725</v>
      </c>
      <c r="H29" s="4" t="n">
        <f aca="false">'2. Normalized Matrix'!H29*Weights!$B$8</f>
        <v>0.0267143262922877</v>
      </c>
      <c r="I29" s="4" t="n">
        <f aca="false">'2. Normalized Matrix'!I29*Weights!$B$9</f>
        <v>0.0260049763396989</v>
      </c>
      <c r="J29" s="4" t="n">
        <f aca="false">'2. Normalized Matrix'!J29*Weights!$B$10</f>
        <v>0.0251820831284273</v>
      </c>
      <c r="K29" s="4" t="n">
        <f aca="false">'2. Normalized Matrix'!K29*Weights!$B$11</f>
        <v>0.0260590671410024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2"/>
  </cols>
  <sheetData>
    <row r="1" customFormat="false" ht="16.15" hidden="false" customHeight="fals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7" t="s">
        <v>37</v>
      </c>
      <c r="B2" s="7"/>
      <c r="C2" s="7"/>
      <c r="D2" s="7"/>
      <c r="E2" s="7"/>
      <c r="F2" s="7"/>
      <c r="G2" s="7"/>
      <c r="H2" s="7"/>
      <c r="I2" s="7"/>
    </row>
    <row r="4" customFormat="false" ht="35.05" hidden="false" customHeight="false" outlineLevel="0" collapsed="false">
      <c r="A4" s="2" t="s">
        <v>38</v>
      </c>
      <c r="B4" s="8" t="s">
        <v>5</v>
      </c>
      <c r="C4" s="8" t="s">
        <v>7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</row>
    <row r="5" customFormat="false" ht="15" hidden="false" customHeight="false" outlineLevel="0" collapsed="false">
      <c r="A5" s="9" t="s">
        <v>39</v>
      </c>
      <c r="B5" s="10" t="n">
        <f aca="false">MIN('3. Weighted Normalized'!D$5:D$29)</f>
        <v>0.02027080425581</v>
      </c>
      <c r="C5" s="10" t="n">
        <f aca="false">MAX('3. Weighted Normalized'!E$5:E$29)</f>
        <v>0.0263356747465021</v>
      </c>
      <c r="D5" s="10" t="n">
        <f aca="false">MAX('3. Weighted Normalized'!F$5:F$29)</f>
        <v>0.0256074118165199</v>
      </c>
      <c r="E5" s="10" t="n">
        <f aca="false">MAX('3. Weighted Normalized'!G$5:G$29)</f>
        <v>0.026169995108395</v>
      </c>
      <c r="F5" s="10" t="n">
        <f aca="false">MAX('3. Weighted Normalized'!H$5:H$29)</f>
        <v>0.0267143262922877</v>
      </c>
      <c r="G5" s="10" t="n">
        <f aca="false">MAX('3. Weighted Normalized'!I$5:I$29)</f>
        <v>0.0268846372729657</v>
      </c>
      <c r="H5" s="10" t="n">
        <f aca="false">MAX('3. Weighted Normalized'!J$5:J$29)</f>
        <v>0.025621944842461</v>
      </c>
      <c r="I5" s="10" t="n">
        <f aca="false">MAX('3. Weighted Normalized'!K$5:K$29)</f>
        <v>0.0263889287503822</v>
      </c>
    </row>
    <row r="6" customFormat="false" ht="15" hidden="false" customHeight="false" outlineLevel="0" collapsed="false">
      <c r="A6" s="11" t="s">
        <v>40</v>
      </c>
      <c r="B6" s="12" t="n">
        <f aca="false">MAX('3. Weighted Normalized'!D$5:D$29)</f>
        <v>0.0231273945574417</v>
      </c>
      <c r="C6" s="12" t="n">
        <f aca="false">MIN('3. Weighted Normalized'!E$5:E$29)</f>
        <v>0.025236064109905</v>
      </c>
      <c r="D6" s="12" t="n">
        <f aca="false">MIN('3. Weighted Normalized'!F$5:F$29)</f>
        <v>0.022475174748834</v>
      </c>
      <c r="E6" s="12" t="n">
        <f aca="false">MIN('3. Weighted Normalized'!G$5:G$29)</f>
        <v>0.0246855626127507</v>
      </c>
      <c r="F6" s="12" t="n">
        <f aca="false">MIN('3. Weighted Normalized'!H$5:H$29)</f>
        <v>0.024570584058956</v>
      </c>
      <c r="G6" s="12" t="n">
        <f aca="false">MIN('3. Weighted Normalized'!I$5:I$29)</f>
        <v>0.025400209448078</v>
      </c>
      <c r="H6" s="12" t="n">
        <f aca="false">MIN('3. Weighted Normalized'!J$5:J$29)</f>
        <v>0.0249071695571563</v>
      </c>
      <c r="I6" s="12" t="n">
        <f aca="false">MIN('3. Weighted Normalized'!K$5:K$29)</f>
        <v>0.0246846437685867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22"/>
  </cols>
  <sheetData>
    <row r="1" customFormat="false" ht="16.15" hidden="false" customHeight="false" outlineLevel="0" collapsed="false">
      <c r="A1" s="1" t="s">
        <v>41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7" t="s">
        <v>42</v>
      </c>
      <c r="B2" s="7"/>
      <c r="C2" s="7"/>
      <c r="D2" s="7"/>
      <c r="E2" s="7"/>
      <c r="F2" s="7"/>
    </row>
    <row r="4" customFormat="false" ht="23.85" hidden="false" customHeight="false" outlineLevel="0" collapsed="false">
      <c r="A4" s="8" t="s">
        <v>19</v>
      </c>
      <c r="B4" s="8" t="s">
        <v>20</v>
      </c>
      <c r="C4" s="8" t="s">
        <v>21</v>
      </c>
      <c r="D4" s="8" t="s">
        <v>43</v>
      </c>
      <c r="E4" s="8" t="s">
        <v>44</v>
      </c>
    </row>
    <row r="5" customFormat="false" ht="15" hidden="false" customHeight="false" outlineLevel="0" collapsed="false">
      <c r="A5" s="3" t="n">
        <f aca="false">'3. Weighted Normalized'!A5</f>
        <v>1</v>
      </c>
      <c r="B5" s="3" t="str">
        <f aca="false">'3. Weighted Normalized'!B5</f>
        <v>IoT Sensors</v>
      </c>
      <c r="C5" s="3" t="str">
        <f aca="false">'3. Weighted Normalized'!C5</f>
        <v>Procurement Management</v>
      </c>
      <c r="D5" s="4" t="n">
        <f aca="false">SQRT(('3. Weighted Normalized'!D5-'4. Ideal Solutions'!$B$5)^2+('3. Weighted Normalized'!E5-'4. Ideal Solutions'!$C$5)^2+('3. Weighted Normalized'!F5-'4. Ideal Solutions'!$D$5)^2+('3. Weighted Normalized'!G5-'4. Ideal Solutions'!$E$5)^2+('3. Weighted Normalized'!H5-'4. Ideal Solutions'!$F$5)^2+('3. Weighted Normalized'!I5-'4. Ideal Solutions'!$G$5)^2+('3. Weighted Normalized'!J5-'4. Ideal Solutions'!$H$5)^2+('3. Weighted Normalized'!K5-'4. Ideal Solutions'!$I$5)^2)</f>
        <v>0.00373238115374944</v>
      </c>
      <c r="E5" s="4" t="n">
        <f aca="false">SQRT(('3. Weighted Normalized'!D5-'4. Ideal Solutions'!$B$6)^2+('3. Weighted Normalized'!E5-'4. Ideal Solutions'!$C$6)^2+('3. Weighted Normalized'!F5-'4. Ideal Solutions'!$D$6)^2+('3. Weighted Normalized'!G5-'4. Ideal Solutions'!$E$6)^2+('3. Weighted Normalized'!H5-'4. Ideal Solutions'!$F$6)^2+('3. Weighted Normalized'!I5-'4. Ideal Solutions'!$G$6)^2+('3. Weighted Normalized'!J5-'4. Ideal Solutions'!$H$6)^2+('3. Weighted Normalized'!K5-'4. Ideal Solutions'!$I$6)^2)</f>
        <v>0.00311109322840759</v>
      </c>
    </row>
    <row r="6" customFormat="false" ht="15" hidden="false" customHeight="false" outlineLevel="0" collapsed="false">
      <c r="A6" s="3" t="n">
        <f aca="false">'3. Weighted Normalized'!A6</f>
        <v>2</v>
      </c>
      <c r="B6" s="3" t="str">
        <f aca="false">'3. Weighted Normalized'!B6</f>
        <v>IoT Sensors</v>
      </c>
      <c r="C6" s="3" t="str">
        <f aca="false">'3. Weighted Normalized'!C6</f>
        <v>Inventory Management</v>
      </c>
      <c r="D6" s="4" t="n">
        <f aca="false">SQRT(('3. Weighted Normalized'!D6-'4. Ideal Solutions'!$B$5)^2+('3. Weighted Normalized'!E6-'4. Ideal Solutions'!$C$5)^2+('3. Weighted Normalized'!F6-'4. Ideal Solutions'!$D$5)^2+('3. Weighted Normalized'!G6-'4. Ideal Solutions'!$E$5)^2+('3. Weighted Normalized'!H6-'4. Ideal Solutions'!$F$5)^2+('3. Weighted Normalized'!I6-'4. Ideal Solutions'!$G$5)^2+('3. Weighted Normalized'!J6-'4. Ideal Solutions'!$H$5)^2+('3. Weighted Normalized'!K6-'4. Ideal Solutions'!$I$5)^2)</f>
        <v>0.00230850861482067</v>
      </c>
      <c r="E6" s="4" t="n">
        <f aca="false">SQRT(('3. Weighted Normalized'!D6-'4. Ideal Solutions'!$B$6)^2+('3. Weighted Normalized'!E6-'4. Ideal Solutions'!$C$6)^2+('3. Weighted Normalized'!F6-'4. Ideal Solutions'!$D$6)^2+('3. Weighted Normalized'!G6-'4. Ideal Solutions'!$E$6)^2+('3. Weighted Normalized'!H6-'4. Ideal Solutions'!$F$6)^2+('3. Weighted Normalized'!I6-'4. Ideal Solutions'!$G$6)^2+('3. Weighted Normalized'!J6-'4. Ideal Solutions'!$H$6)^2+('3. Weighted Normalized'!K6-'4. Ideal Solutions'!$I$6)^2)</f>
        <v>0.00349203717497542</v>
      </c>
    </row>
    <row r="7" customFormat="false" ht="15" hidden="false" customHeight="false" outlineLevel="0" collapsed="false">
      <c r="A7" s="3" t="n">
        <f aca="false">'3. Weighted Normalized'!A7</f>
        <v>3</v>
      </c>
      <c r="B7" s="3" t="str">
        <f aca="false">'3. Weighted Normalized'!B7</f>
        <v>IoT Sensors</v>
      </c>
      <c r="C7" s="3" t="str">
        <f aca="false">'3. Weighted Normalized'!C7</f>
        <v>Logistics Management</v>
      </c>
      <c r="D7" s="4" t="n">
        <f aca="false">SQRT(('3. Weighted Normalized'!D7-'4. Ideal Solutions'!$B$5)^2+('3. Weighted Normalized'!E7-'4. Ideal Solutions'!$C$5)^2+('3. Weighted Normalized'!F7-'4. Ideal Solutions'!$D$5)^2+('3. Weighted Normalized'!G7-'4. Ideal Solutions'!$E$5)^2+('3. Weighted Normalized'!H7-'4. Ideal Solutions'!$F$5)^2+('3. Weighted Normalized'!I7-'4. Ideal Solutions'!$G$5)^2+('3. Weighted Normalized'!J7-'4. Ideal Solutions'!$H$5)^2+('3. Weighted Normalized'!K7-'4. Ideal Solutions'!$I$5)^2)</f>
        <v>0.00256373418013807</v>
      </c>
      <c r="E7" s="4" t="n">
        <f aca="false">SQRT(('3. Weighted Normalized'!D7-'4. Ideal Solutions'!$B$6)^2+('3. Weighted Normalized'!E7-'4. Ideal Solutions'!$C$6)^2+('3. Weighted Normalized'!F7-'4. Ideal Solutions'!$D$6)^2+('3. Weighted Normalized'!G7-'4. Ideal Solutions'!$E$6)^2+('3. Weighted Normalized'!H7-'4. Ideal Solutions'!$F$6)^2+('3. Weighted Normalized'!I7-'4. Ideal Solutions'!$G$6)^2+('3. Weighted Normalized'!J7-'4. Ideal Solutions'!$H$6)^2+('3. Weighted Normalized'!K7-'4. Ideal Solutions'!$I$6)^2)</f>
        <v>0.00366107053923699</v>
      </c>
    </row>
    <row r="8" customFormat="false" ht="15" hidden="false" customHeight="false" outlineLevel="0" collapsed="false">
      <c r="A8" s="3" t="n">
        <f aca="false">'3. Weighted Normalized'!A8</f>
        <v>4</v>
      </c>
      <c r="B8" s="3" t="str">
        <f aca="false">'3. Weighted Normalized'!B8</f>
        <v>IoT Sensors</v>
      </c>
      <c r="C8" s="3" t="str">
        <f aca="false">'3. Weighted Normalized'!C8</f>
        <v>Supplier Management</v>
      </c>
      <c r="D8" s="4" t="n">
        <f aca="false">SQRT(('3. Weighted Normalized'!D8-'4. Ideal Solutions'!$B$5)^2+('3. Weighted Normalized'!E8-'4. Ideal Solutions'!$C$5)^2+('3. Weighted Normalized'!F8-'4. Ideal Solutions'!$D$5)^2+('3. Weighted Normalized'!G8-'4. Ideal Solutions'!$E$5)^2+('3. Weighted Normalized'!H8-'4. Ideal Solutions'!$F$5)^2+('3. Weighted Normalized'!I8-'4. Ideal Solutions'!$G$5)^2+('3. Weighted Normalized'!J8-'4. Ideal Solutions'!$H$5)^2+('3. Weighted Normalized'!K8-'4. Ideal Solutions'!$I$5)^2)</f>
        <v>0.00309550492069819</v>
      </c>
      <c r="E8" s="4" t="n">
        <f aca="false">SQRT(('3. Weighted Normalized'!D8-'4. Ideal Solutions'!$B$6)^2+('3. Weighted Normalized'!E8-'4. Ideal Solutions'!$C$6)^2+('3. Weighted Normalized'!F8-'4. Ideal Solutions'!$D$6)^2+('3. Weighted Normalized'!G8-'4. Ideal Solutions'!$E$6)^2+('3. Weighted Normalized'!H8-'4. Ideal Solutions'!$F$6)^2+('3. Weighted Normalized'!I8-'4. Ideal Solutions'!$G$6)^2+('3. Weighted Normalized'!J8-'4. Ideal Solutions'!$H$6)^2+('3. Weighted Normalized'!K8-'4. Ideal Solutions'!$I$6)^2)</f>
        <v>0.00331740302622557</v>
      </c>
    </row>
    <row r="9" customFormat="false" ht="15" hidden="false" customHeight="false" outlineLevel="0" collapsed="false">
      <c r="A9" s="3" t="n">
        <f aca="false">'3. Weighted Normalized'!A9</f>
        <v>5</v>
      </c>
      <c r="B9" s="3" t="str">
        <f aca="false">'3. Weighted Normalized'!B9</f>
        <v>IoT Sensors</v>
      </c>
      <c r="C9" s="3" t="str">
        <f aca="false">'3. Weighted Normalized'!C9</f>
        <v>Just-in-Time</v>
      </c>
      <c r="D9" s="4" t="n">
        <f aca="false">SQRT(('3. Weighted Normalized'!D9-'4. Ideal Solutions'!$B$5)^2+('3. Weighted Normalized'!E9-'4. Ideal Solutions'!$C$5)^2+('3. Weighted Normalized'!F9-'4. Ideal Solutions'!$D$5)^2+('3. Weighted Normalized'!G9-'4. Ideal Solutions'!$E$5)^2+('3. Weighted Normalized'!H9-'4. Ideal Solutions'!$F$5)^2+('3. Weighted Normalized'!I9-'4. Ideal Solutions'!$G$5)^2+('3. Weighted Normalized'!J9-'4. Ideal Solutions'!$H$5)^2+('3. Weighted Normalized'!K9-'4. Ideal Solutions'!$I$5)^2)</f>
        <v>0.00314698099920757</v>
      </c>
      <c r="E9" s="4" t="n">
        <f aca="false">SQRT(('3. Weighted Normalized'!D9-'4. Ideal Solutions'!$B$6)^2+('3. Weighted Normalized'!E9-'4. Ideal Solutions'!$C$6)^2+('3. Weighted Normalized'!F9-'4. Ideal Solutions'!$D$6)^2+('3. Weighted Normalized'!G9-'4. Ideal Solutions'!$E$6)^2+('3. Weighted Normalized'!H9-'4. Ideal Solutions'!$F$6)^2+('3. Weighted Normalized'!I9-'4. Ideal Solutions'!$G$6)^2+('3. Weighted Normalized'!J9-'4. Ideal Solutions'!$H$6)^2+('3. Weighted Normalized'!K9-'4. Ideal Solutions'!$I$6)^2)</f>
        <v>0.00298681078961355</v>
      </c>
    </row>
    <row r="10" customFormat="false" ht="15" hidden="false" customHeight="false" outlineLevel="0" collapsed="false">
      <c r="A10" s="3" t="n">
        <f aca="false">'3. Weighted Normalized'!A10</f>
        <v>6</v>
      </c>
      <c r="B10" s="3" t="str">
        <f aca="false">'3. Weighted Normalized'!B10</f>
        <v>RFID</v>
      </c>
      <c r="C10" s="3" t="str">
        <f aca="false">'3. Weighted Normalized'!C10</f>
        <v>Procurement Management</v>
      </c>
      <c r="D10" s="4" t="n">
        <f aca="false">SQRT(('3. Weighted Normalized'!D10-'4. Ideal Solutions'!$B$5)^2+('3. Weighted Normalized'!E10-'4. Ideal Solutions'!$C$5)^2+('3. Weighted Normalized'!F10-'4. Ideal Solutions'!$D$5)^2+('3. Weighted Normalized'!G10-'4. Ideal Solutions'!$E$5)^2+('3. Weighted Normalized'!H10-'4. Ideal Solutions'!$F$5)^2+('3. Weighted Normalized'!I10-'4. Ideal Solutions'!$G$5)^2+('3. Weighted Normalized'!J10-'4. Ideal Solutions'!$H$5)^2+('3. Weighted Normalized'!K10-'4. Ideal Solutions'!$I$5)^2)</f>
        <v>0.00397597659187339</v>
      </c>
      <c r="E10" s="4" t="n">
        <f aca="false">SQRT(('3. Weighted Normalized'!D10-'4. Ideal Solutions'!$B$6)^2+('3. Weighted Normalized'!E10-'4. Ideal Solutions'!$C$6)^2+('3. Weighted Normalized'!F10-'4. Ideal Solutions'!$D$6)^2+('3. Weighted Normalized'!G10-'4. Ideal Solutions'!$E$6)^2+('3. Weighted Normalized'!H10-'4. Ideal Solutions'!$F$6)^2+('3. Weighted Normalized'!I10-'4. Ideal Solutions'!$G$6)^2+('3. Weighted Normalized'!J10-'4. Ideal Solutions'!$H$6)^2+('3. Weighted Normalized'!K10-'4. Ideal Solutions'!$I$6)^2)</f>
        <v>0.00297564833957605</v>
      </c>
    </row>
    <row r="11" customFormat="false" ht="15" hidden="false" customHeight="false" outlineLevel="0" collapsed="false">
      <c r="A11" s="3" t="n">
        <f aca="false">'3. Weighted Normalized'!A11</f>
        <v>7</v>
      </c>
      <c r="B11" s="3" t="str">
        <f aca="false">'3. Weighted Normalized'!B11</f>
        <v>RFID</v>
      </c>
      <c r="C11" s="3" t="str">
        <f aca="false">'3. Weighted Normalized'!C11</f>
        <v>Inventory Management</v>
      </c>
      <c r="D11" s="4" t="n">
        <f aca="false">SQRT(('3. Weighted Normalized'!D11-'4. Ideal Solutions'!$B$5)^2+('3. Weighted Normalized'!E11-'4. Ideal Solutions'!$C$5)^2+('3. Weighted Normalized'!F11-'4. Ideal Solutions'!$D$5)^2+('3. Weighted Normalized'!G11-'4. Ideal Solutions'!$E$5)^2+('3. Weighted Normalized'!H11-'4. Ideal Solutions'!$F$5)^2+('3. Weighted Normalized'!I11-'4. Ideal Solutions'!$G$5)^2+('3. Weighted Normalized'!J11-'4. Ideal Solutions'!$H$5)^2+('3. Weighted Normalized'!K11-'4. Ideal Solutions'!$I$5)^2)</f>
        <v>0.0030103706816615</v>
      </c>
      <c r="E11" s="4" t="n">
        <f aca="false">SQRT(('3. Weighted Normalized'!D11-'4. Ideal Solutions'!$B$6)^2+('3. Weighted Normalized'!E11-'4. Ideal Solutions'!$C$6)^2+('3. Weighted Normalized'!F11-'4. Ideal Solutions'!$D$6)^2+('3. Weighted Normalized'!G11-'4. Ideal Solutions'!$E$6)^2+('3. Weighted Normalized'!H11-'4. Ideal Solutions'!$F$6)^2+('3. Weighted Normalized'!I11-'4. Ideal Solutions'!$G$6)^2+('3. Weighted Normalized'!J11-'4. Ideal Solutions'!$H$6)^2+('3. Weighted Normalized'!K11-'4. Ideal Solutions'!$I$6)^2)</f>
        <v>0.00363666116519442</v>
      </c>
    </row>
    <row r="12" customFormat="false" ht="15" hidden="false" customHeight="false" outlineLevel="0" collapsed="false">
      <c r="A12" s="3" t="n">
        <f aca="false">'3. Weighted Normalized'!A12</f>
        <v>8</v>
      </c>
      <c r="B12" s="3" t="str">
        <f aca="false">'3. Weighted Normalized'!B12</f>
        <v>RFID</v>
      </c>
      <c r="C12" s="3" t="str">
        <f aca="false">'3. Weighted Normalized'!C12</f>
        <v>Logistics Management</v>
      </c>
      <c r="D12" s="4" t="n">
        <f aca="false">SQRT(('3. Weighted Normalized'!D12-'4. Ideal Solutions'!$B$5)^2+('3. Weighted Normalized'!E12-'4. Ideal Solutions'!$C$5)^2+('3. Weighted Normalized'!F12-'4. Ideal Solutions'!$D$5)^2+('3. Weighted Normalized'!G12-'4. Ideal Solutions'!$E$5)^2+('3. Weighted Normalized'!H12-'4. Ideal Solutions'!$F$5)^2+('3. Weighted Normalized'!I12-'4. Ideal Solutions'!$G$5)^2+('3. Weighted Normalized'!J12-'4. Ideal Solutions'!$H$5)^2+('3. Weighted Normalized'!K12-'4. Ideal Solutions'!$I$5)^2)</f>
        <v>0.00286110279904734</v>
      </c>
      <c r="E12" s="4" t="n">
        <f aca="false">SQRT(('3. Weighted Normalized'!D12-'4. Ideal Solutions'!$B$6)^2+('3. Weighted Normalized'!E12-'4. Ideal Solutions'!$C$6)^2+('3. Weighted Normalized'!F12-'4. Ideal Solutions'!$D$6)^2+('3. Weighted Normalized'!G12-'4. Ideal Solutions'!$E$6)^2+('3. Weighted Normalized'!H12-'4. Ideal Solutions'!$F$6)^2+('3. Weighted Normalized'!I12-'4. Ideal Solutions'!$G$6)^2+('3. Weighted Normalized'!J12-'4. Ideal Solutions'!$H$6)^2+('3. Weighted Normalized'!K12-'4. Ideal Solutions'!$I$6)^2)</f>
        <v>0.00350919862024</v>
      </c>
    </row>
    <row r="13" customFormat="false" ht="15" hidden="false" customHeight="false" outlineLevel="0" collapsed="false">
      <c r="A13" s="3" t="n">
        <f aca="false">'3. Weighted Normalized'!A13</f>
        <v>9</v>
      </c>
      <c r="B13" s="3" t="str">
        <f aca="false">'3. Weighted Normalized'!B13</f>
        <v>RFID</v>
      </c>
      <c r="C13" s="3" t="str">
        <f aca="false">'3. Weighted Normalized'!C13</f>
        <v>Supplier Management</v>
      </c>
      <c r="D13" s="4" t="n">
        <f aca="false">SQRT(('3. Weighted Normalized'!D13-'4. Ideal Solutions'!$B$5)^2+('3. Weighted Normalized'!E13-'4. Ideal Solutions'!$C$5)^2+('3. Weighted Normalized'!F13-'4. Ideal Solutions'!$D$5)^2+('3. Weighted Normalized'!G13-'4. Ideal Solutions'!$E$5)^2+('3. Weighted Normalized'!H13-'4. Ideal Solutions'!$F$5)^2+('3. Weighted Normalized'!I13-'4. Ideal Solutions'!$G$5)^2+('3. Weighted Normalized'!J13-'4. Ideal Solutions'!$H$5)^2+('3. Weighted Normalized'!K13-'4. Ideal Solutions'!$I$5)^2)</f>
        <v>0.00349414679322661</v>
      </c>
      <c r="E13" s="4" t="n">
        <f aca="false">SQRT(('3. Weighted Normalized'!D13-'4. Ideal Solutions'!$B$6)^2+('3. Weighted Normalized'!E13-'4. Ideal Solutions'!$C$6)^2+('3. Weighted Normalized'!F13-'4. Ideal Solutions'!$D$6)^2+('3. Weighted Normalized'!G13-'4. Ideal Solutions'!$E$6)^2+('3. Weighted Normalized'!H13-'4. Ideal Solutions'!$F$6)^2+('3. Weighted Normalized'!I13-'4. Ideal Solutions'!$G$6)^2+('3. Weighted Normalized'!J13-'4. Ideal Solutions'!$H$6)^2+('3. Weighted Normalized'!K13-'4. Ideal Solutions'!$I$6)^2)</f>
        <v>0.00330604523860104</v>
      </c>
    </row>
    <row r="14" customFormat="false" ht="15" hidden="false" customHeight="false" outlineLevel="0" collapsed="false">
      <c r="A14" s="3" t="n">
        <f aca="false">'3. Weighted Normalized'!A14</f>
        <v>10</v>
      </c>
      <c r="B14" s="3" t="str">
        <f aca="false">'3. Weighted Normalized'!B14</f>
        <v>RFID</v>
      </c>
      <c r="C14" s="3" t="str">
        <f aca="false">'3. Weighted Normalized'!C14</f>
        <v>Just-in-Time</v>
      </c>
      <c r="D14" s="4" t="n">
        <f aca="false">SQRT(('3. Weighted Normalized'!D14-'4. Ideal Solutions'!$B$5)^2+('3. Weighted Normalized'!E14-'4. Ideal Solutions'!$C$5)^2+('3. Weighted Normalized'!F14-'4. Ideal Solutions'!$D$5)^2+('3. Weighted Normalized'!G14-'4. Ideal Solutions'!$E$5)^2+('3. Weighted Normalized'!H14-'4. Ideal Solutions'!$F$5)^2+('3. Weighted Normalized'!I14-'4. Ideal Solutions'!$G$5)^2+('3. Weighted Normalized'!J14-'4. Ideal Solutions'!$H$5)^2+('3. Weighted Normalized'!K14-'4. Ideal Solutions'!$I$5)^2)</f>
        <v>0.00362744779856395</v>
      </c>
      <c r="E14" s="4" t="n">
        <f aca="false">SQRT(('3. Weighted Normalized'!D14-'4. Ideal Solutions'!$B$6)^2+('3. Weighted Normalized'!E14-'4. Ideal Solutions'!$C$6)^2+('3. Weighted Normalized'!F14-'4. Ideal Solutions'!$D$6)^2+('3. Weighted Normalized'!G14-'4. Ideal Solutions'!$E$6)^2+('3. Weighted Normalized'!H14-'4. Ideal Solutions'!$F$6)^2+('3. Weighted Normalized'!I14-'4. Ideal Solutions'!$G$6)^2+('3. Weighted Normalized'!J14-'4. Ideal Solutions'!$H$6)^2+('3. Weighted Normalized'!K14-'4. Ideal Solutions'!$I$6)^2)</f>
        <v>0.00307795191606396</v>
      </c>
    </row>
    <row r="15" customFormat="false" ht="15" hidden="false" customHeight="false" outlineLevel="0" collapsed="false">
      <c r="A15" s="3" t="n">
        <f aca="false">'3. Weighted Normalized'!A15</f>
        <v>11</v>
      </c>
      <c r="B15" s="3" t="str">
        <f aca="false">'3. Weighted Normalized'!B15</f>
        <v>GPS</v>
      </c>
      <c r="C15" s="3" t="str">
        <f aca="false">'3. Weighted Normalized'!C15</f>
        <v>Procurement Management</v>
      </c>
      <c r="D15" s="4" t="n">
        <f aca="false">SQRT(('3. Weighted Normalized'!D15-'4. Ideal Solutions'!$B$5)^2+('3. Weighted Normalized'!E15-'4. Ideal Solutions'!$C$5)^2+('3. Weighted Normalized'!F15-'4. Ideal Solutions'!$D$5)^2+('3. Weighted Normalized'!G15-'4. Ideal Solutions'!$E$5)^2+('3. Weighted Normalized'!H15-'4. Ideal Solutions'!$F$5)^2+('3. Weighted Normalized'!I15-'4. Ideal Solutions'!$G$5)^2+('3. Weighted Normalized'!J15-'4. Ideal Solutions'!$H$5)^2+('3. Weighted Normalized'!K15-'4. Ideal Solutions'!$I$5)^2)</f>
        <v>0.00337577234752964</v>
      </c>
      <c r="E15" s="4" t="n">
        <f aca="false">SQRT(('3. Weighted Normalized'!D15-'4. Ideal Solutions'!$B$6)^2+('3. Weighted Normalized'!E15-'4. Ideal Solutions'!$C$6)^2+('3. Weighted Normalized'!F15-'4. Ideal Solutions'!$D$6)^2+('3. Weighted Normalized'!G15-'4. Ideal Solutions'!$E$6)^2+('3. Weighted Normalized'!H15-'4. Ideal Solutions'!$F$6)^2+('3. Weighted Normalized'!I15-'4. Ideal Solutions'!$G$6)^2+('3. Weighted Normalized'!J15-'4. Ideal Solutions'!$H$6)^2+('3. Weighted Normalized'!K15-'4. Ideal Solutions'!$I$6)^2)</f>
        <v>0.00329681164780972</v>
      </c>
    </row>
    <row r="16" customFormat="false" ht="15" hidden="false" customHeight="false" outlineLevel="0" collapsed="false">
      <c r="A16" s="3" t="n">
        <f aca="false">'3. Weighted Normalized'!A16</f>
        <v>12</v>
      </c>
      <c r="B16" s="3" t="str">
        <f aca="false">'3. Weighted Normalized'!B16</f>
        <v>GPS</v>
      </c>
      <c r="C16" s="3" t="str">
        <f aca="false">'3. Weighted Normalized'!C16</f>
        <v>Inventory Management</v>
      </c>
      <c r="D16" s="4" t="n">
        <f aca="false">SQRT(('3. Weighted Normalized'!D16-'4. Ideal Solutions'!$B$5)^2+('3. Weighted Normalized'!E16-'4. Ideal Solutions'!$C$5)^2+('3. Weighted Normalized'!F16-'4. Ideal Solutions'!$D$5)^2+('3. Weighted Normalized'!G16-'4. Ideal Solutions'!$E$5)^2+('3. Weighted Normalized'!H16-'4. Ideal Solutions'!$F$5)^2+('3. Weighted Normalized'!I16-'4. Ideal Solutions'!$G$5)^2+('3. Weighted Normalized'!J16-'4. Ideal Solutions'!$H$5)^2+('3. Weighted Normalized'!K16-'4. Ideal Solutions'!$I$5)^2)</f>
        <v>0.00244283505456805</v>
      </c>
      <c r="E16" s="4" t="n">
        <f aca="false">SQRT(('3. Weighted Normalized'!D16-'4. Ideal Solutions'!$B$6)^2+('3. Weighted Normalized'!E16-'4. Ideal Solutions'!$C$6)^2+('3. Weighted Normalized'!F16-'4. Ideal Solutions'!$D$6)^2+('3. Weighted Normalized'!G16-'4. Ideal Solutions'!$E$6)^2+('3. Weighted Normalized'!H16-'4. Ideal Solutions'!$F$6)^2+('3. Weighted Normalized'!I16-'4. Ideal Solutions'!$G$6)^2+('3. Weighted Normalized'!J16-'4. Ideal Solutions'!$H$6)^2+('3. Weighted Normalized'!K16-'4. Ideal Solutions'!$I$6)^2)</f>
        <v>0.00406908476322921</v>
      </c>
    </row>
    <row r="17" customFormat="false" ht="15" hidden="false" customHeight="false" outlineLevel="0" collapsed="false">
      <c r="A17" s="3" t="n">
        <f aca="false">'3. Weighted Normalized'!A17</f>
        <v>13</v>
      </c>
      <c r="B17" s="3" t="str">
        <f aca="false">'3. Weighted Normalized'!B17</f>
        <v>GPS</v>
      </c>
      <c r="C17" s="3" t="str">
        <f aca="false">'3. Weighted Normalized'!C17</f>
        <v>Logistics Management</v>
      </c>
      <c r="D17" s="4" t="n">
        <f aca="false">SQRT(('3. Weighted Normalized'!D17-'4. Ideal Solutions'!$B$5)^2+('3. Weighted Normalized'!E17-'4. Ideal Solutions'!$C$5)^2+('3. Weighted Normalized'!F17-'4. Ideal Solutions'!$D$5)^2+('3. Weighted Normalized'!G17-'4. Ideal Solutions'!$E$5)^2+('3. Weighted Normalized'!H17-'4. Ideal Solutions'!$F$5)^2+('3. Weighted Normalized'!I17-'4. Ideal Solutions'!$G$5)^2+('3. Weighted Normalized'!J17-'4. Ideal Solutions'!$H$5)^2+('3. Weighted Normalized'!K17-'4. Ideal Solutions'!$I$5)^2)</f>
        <v>0.00237753784700531</v>
      </c>
      <c r="E17" s="4" t="n">
        <f aca="false">SQRT(('3. Weighted Normalized'!D17-'4. Ideal Solutions'!$B$6)^2+('3. Weighted Normalized'!E17-'4. Ideal Solutions'!$C$6)^2+('3. Weighted Normalized'!F17-'4. Ideal Solutions'!$D$6)^2+('3. Weighted Normalized'!G17-'4. Ideal Solutions'!$E$6)^2+('3. Weighted Normalized'!H17-'4. Ideal Solutions'!$F$6)^2+('3. Weighted Normalized'!I17-'4. Ideal Solutions'!$G$6)^2+('3. Weighted Normalized'!J17-'4. Ideal Solutions'!$H$6)^2+('3. Weighted Normalized'!K17-'4. Ideal Solutions'!$I$6)^2)</f>
        <v>0.0040259516714203</v>
      </c>
    </row>
    <row r="18" customFormat="false" ht="15" hidden="false" customHeight="false" outlineLevel="0" collapsed="false">
      <c r="A18" s="3" t="n">
        <f aca="false">'3. Weighted Normalized'!A18</f>
        <v>14</v>
      </c>
      <c r="B18" s="3" t="str">
        <f aca="false">'3. Weighted Normalized'!B18</f>
        <v>GPS</v>
      </c>
      <c r="C18" s="3" t="str">
        <f aca="false">'3. Weighted Normalized'!C18</f>
        <v>Supplier Management</v>
      </c>
      <c r="D18" s="4" t="n">
        <f aca="false">SQRT(('3. Weighted Normalized'!D18-'4. Ideal Solutions'!$B$5)^2+('3. Weighted Normalized'!E18-'4. Ideal Solutions'!$C$5)^2+('3. Weighted Normalized'!F18-'4. Ideal Solutions'!$D$5)^2+('3. Weighted Normalized'!G18-'4. Ideal Solutions'!$E$5)^2+('3. Weighted Normalized'!H18-'4. Ideal Solutions'!$F$5)^2+('3. Weighted Normalized'!I18-'4. Ideal Solutions'!$G$5)^2+('3. Weighted Normalized'!J18-'4. Ideal Solutions'!$H$5)^2+('3. Weighted Normalized'!K18-'4. Ideal Solutions'!$I$5)^2)</f>
        <v>0.00292644345316381</v>
      </c>
      <c r="E18" s="4" t="n">
        <f aca="false">SQRT(('3. Weighted Normalized'!D18-'4. Ideal Solutions'!$B$6)^2+('3. Weighted Normalized'!E18-'4. Ideal Solutions'!$C$6)^2+('3. Weighted Normalized'!F18-'4. Ideal Solutions'!$D$6)^2+('3. Weighted Normalized'!G18-'4. Ideal Solutions'!$E$6)^2+('3. Weighted Normalized'!H18-'4. Ideal Solutions'!$F$6)^2+('3. Weighted Normalized'!I18-'4. Ideal Solutions'!$G$6)^2+('3. Weighted Normalized'!J18-'4. Ideal Solutions'!$H$6)^2+('3. Weighted Normalized'!K18-'4. Ideal Solutions'!$I$6)^2)</f>
        <v>0.00370296901265966</v>
      </c>
    </row>
    <row r="19" customFormat="false" ht="15" hidden="false" customHeight="false" outlineLevel="0" collapsed="false">
      <c r="A19" s="3" t="n">
        <f aca="false">'3. Weighted Normalized'!A19</f>
        <v>15</v>
      </c>
      <c r="B19" s="3" t="str">
        <f aca="false">'3. Weighted Normalized'!B19</f>
        <v>GPS</v>
      </c>
      <c r="C19" s="3" t="str">
        <f aca="false">'3. Weighted Normalized'!C19</f>
        <v>Just-in-Time</v>
      </c>
      <c r="D19" s="4" t="n">
        <f aca="false">SQRT(('3. Weighted Normalized'!D19-'4. Ideal Solutions'!$B$5)^2+('3. Weighted Normalized'!E19-'4. Ideal Solutions'!$C$5)^2+('3. Weighted Normalized'!F19-'4. Ideal Solutions'!$D$5)^2+('3. Weighted Normalized'!G19-'4. Ideal Solutions'!$E$5)^2+('3. Weighted Normalized'!H19-'4. Ideal Solutions'!$F$5)^2+('3. Weighted Normalized'!I19-'4. Ideal Solutions'!$G$5)^2+('3. Weighted Normalized'!J19-'4. Ideal Solutions'!$H$5)^2+('3. Weighted Normalized'!K19-'4. Ideal Solutions'!$I$5)^2)</f>
        <v>0.00309324030590885</v>
      </c>
      <c r="E19" s="4" t="n">
        <f aca="false">SQRT(('3. Weighted Normalized'!D19-'4. Ideal Solutions'!$B$6)^2+('3. Weighted Normalized'!E19-'4. Ideal Solutions'!$C$6)^2+('3. Weighted Normalized'!F19-'4. Ideal Solutions'!$D$6)^2+('3. Weighted Normalized'!G19-'4. Ideal Solutions'!$E$6)^2+('3. Weighted Normalized'!H19-'4. Ideal Solutions'!$F$6)^2+('3. Weighted Normalized'!I19-'4. Ideal Solutions'!$G$6)^2+('3. Weighted Normalized'!J19-'4. Ideal Solutions'!$H$6)^2+('3. Weighted Normalized'!K19-'4. Ideal Solutions'!$I$6)^2)</f>
        <v>0.00350864375129279</v>
      </c>
    </row>
    <row r="20" customFormat="false" ht="15" hidden="false" customHeight="false" outlineLevel="0" collapsed="false">
      <c r="A20" s="3" t="n">
        <f aca="false">'3. Weighted Normalized'!A20</f>
        <v>16</v>
      </c>
      <c r="B20" s="3" t="str">
        <f aca="false">'3. Weighted Normalized'!B20</f>
        <v>BIM-IoT integration</v>
      </c>
      <c r="C20" s="3" t="str">
        <f aca="false">'3. Weighted Normalized'!C20</f>
        <v>Procurement Management</v>
      </c>
      <c r="D20" s="4" t="n">
        <f aca="false">SQRT(('3. Weighted Normalized'!D20-'4. Ideal Solutions'!$B$5)^2+('3. Weighted Normalized'!E20-'4. Ideal Solutions'!$C$5)^2+('3. Weighted Normalized'!F20-'4. Ideal Solutions'!$D$5)^2+('3. Weighted Normalized'!G20-'4. Ideal Solutions'!$E$5)^2+('3. Weighted Normalized'!H20-'4. Ideal Solutions'!$F$5)^2+('3. Weighted Normalized'!I20-'4. Ideal Solutions'!$G$5)^2+('3. Weighted Normalized'!J20-'4. Ideal Solutions'!$H$5)^2+('3. Weighted Normalized'!K20-'4. Ideal Solutions'!$I$5)^2)</f>
        <v>0.00341692807139169</v>
      </c>
      <c r="E20" s="4" t="n">
        <f aca="false">SQRT(('3. Weighted Normalized'!D20-'4. Ideal Solutions'!$B$6)^2+('3. Weighted Normalized'!E20-'4. Ideal Solutions'!$C$6)^2+('3. Weighted Normalized'!F20-'4. Ideal Solutions'!$D$6)^2+('3. Weighted Normalized'!G20-'4. Ideal Solutions'!$E$6)^2+('3. Weighted Normalized'!H20-'4. Ideal Solutions'!$F$6)^2+('3. Weighted Normalized'!I20-'4. Ideal Solutions'!$G$6)^2+('3. Weighted Normalized'!J20-'4. Ideal Solutions'!$H$6)^2+('3. Weighted Normalized'!K20-'4. Ideal Solutions'!$I$6)^2)</f>
        <v>0.00298094503464151</v>
      </c>
    </row>
    <row r="21" customFormat="false" ht="15" hidden="false" customHeight="false" outlineLevel="0" collapsed="false">
      <c r="A21" s="3" t="n">
        <f aca="false">'3. Weighted Normalized'!A21</f>
        <v>17</v>
      </c>
      <c r="B21" s="3" t="str">
        <f aca="false">'3. Weighted Normalized'!B21</f>
        <v>BIM-IoT integration</v>
      </c>
      <c r="C21" s="3" t="str">
        <f aca="false">'3. Weighted Normalized'!C21</f>
        <v>Inventory Management</v>
      </c>
      <c r="D21" s="4" t="n">
        <f aca="false">SQRT(('3. Weighted Normalized'!D21-'4. Ideal Solutions'!$B$5)^2+('3. Weighted Normalized'!E21-'4. Ideal Solutions'!$C$5)^2+('3. Weighted Normalized'!F21-'4. Ideal Solutions'!$D$5)^2+('3. Weighted Normalized'!G21-'4. Ideal Solutions'!$E$5)^2+('3. Weighted Normalized'!H21-'4. Ideal Solutions'!$F$5)^2+('3. Weighted Normalized'!I21-'4. Ideal Solutions'!$G$5)^2+('3. Weighted Normalized'!J21-'4. Ideal Solutions'!$H$5)^2+('3. Weighted Normalized'!K21-'4. Ideal Solutions'!$I$5)^2)</f>
        <v>0.00267920171336365</v>
      </c>
      <c r="E21" s="4" t="n">
        <f aca="false">SQRT(('3. Weighted Normalized'!D21-'4. Ideal Solutions'!$B$6)^2+('3. Weighted Normalized'!E21-'4. Ideal Solutions'!$C$6)^2+('3. Weighted Normalized'!F21-'4. Ideal Solutions'!$D$6)^2+('3. Weighted Normalized'!G21-'4. Ideal Solutions'!$E$6)^2+('3. Weighted Normalized'!H21-'4. Ideal Solutions'!$F$6)^2+('3. Weighted Normalized'!I21-'4. Ideal Solutions'!$G$6)^2+('3. Weighted Normalized'!J21-'4. Ideal Solutions'!$H$6)^2+('3. Weighted Normalized'!K21-'4. Ideal Solutions'!$I$6)^2)</f>
        <v>0.00393771980759292</v>
      </c>
    </row>
    <row r="22" customFormat="false" ht="15" hidden="false" customHeight="false" outlineLevel="0" collapsed="false">
      <c r="A22" s="3" t="n">
        <f aca="false">'3. Weighted Normalized'!A22</f>
        <v>18</v>
      </c>
      <c r="B22" s="3" t="str">
        <f aca="false">'3. Weighted Normalized'!B22</f>
        <v>BIM-IoT integration</v>
      </c>
      <c r="C22" s="3" t="str">
        <f aca="false">'3. Weighted Normalized'!C22</f>
        <v>Logistics Management</v>
      </c>
      <c r="D22" s="4" t="n">
        <f aca="false">SQRT(('3. Weighted Normalized'!D22-'4. Ideal Solutions'!$B$5)^2+('3. Weighted Normalized'!E22-'4. Ideal Solutions'!$C$5)^2+('3. Weighted Normalized'!F22-'4. Ideal Solutions'!$D$5)^2+('3. Weighted Normalized'!G22-'4. Ideal Solutions'!$E$5)^2+('3. Weighted Normalized'!H22-'4. Ideal Solutions'!$F$5)^2+('3. Weighted Normalized'!I22-'4. Ideal Solutions'!$G$5)^2+('3. Weighted Normalized'!J22-'4. Ideal Solutions'!$H$5)^2+('3. Weighted Normalized'!K22-'4. Ideal Solutions'!$I$5)^2)</f>
        <v>0.00264358155151528</v>
      </c>
      <c r="E22" s="4" t="n">
        <f aca="false">SQRT(('3. Weighted Normalized'!D22-'4. Ideal Solutions'!$B$6)^2+('3. Weighted Normalized'!E22-'4. Ideal Solutions'!$C$6)^2+('3. Weighted Normalized'!F22-'4. Ideal Solutions'!$D$6)^2+('3. Weighted Normalized'!G22-'4. Ideal Solutions'!$E$6)^2+('3. Weighted Normalized'!H22-'4. Ideal Solutions'!$F$6)^2+('3. Weighted Normalized'!I22-'4. Ideal Solutions'!$G$6)^2+('3. Weighted Normalized'!J22-'4. Ideal Solutions'!$H$6)^2+('3. Weighted Normalized'!K22-'4. Ideal Solutions'!$I$6)^2)</f>
        <v>0.00390917277974287</v>
      </c>
    </row>
    <row r="23" customFormat="false" ht="15" hidden="false" customHeight="false" outlineLevel="0" collapsed="false">
      <c r="A23" s="3" t="n">
        <f aca="false">'3. Weighted Normalized'!A23</f>
        <v>19</v>
      </c>
      <c r="B23" s="3" t="str">
        <f aca="false">'3. Weighted Normalized'!B23</f>
        <v>BIM-IoT integration</v>
      </c>
      <c r="C23" s="3" t="str">
        <f aca="false">'3. Weighted Normalized'!C23</f>
        <v>Supplier Management</v>
      </c>
      <c r="D23" s="4" t="n">
        <f aca="false">SQRT(('3. Weighted Normalized'!D23-'4. Ideal Solutions'!$B$5)^2+('3. Weighted Normalized'!E23-'4. Ideal Solutions'!$C$5)^2+('3. Weighted Normalized'!F23-'4. Ideal Solutions'!$D$5)^2+('3. Weighted Normalized'!G23-'4. Ideal Solutions'!$E$5)^2+('3. Weighted Normalized'!H23-'4. Ideal Solutions'!$F$5)^2+('3. Weighted Normalized'!I23-'4. Ideal Solutions'!$G$5)^2+('3. Weighted Normalized'!J23-'4. Ideal Solutions'!$H$5)^2+('3. Weighted Normalized'!K23-'4. Ideal Solutions'!$I$5)^2)</f>
        <v>0.00282277872403094</v>
      </c>
      <c r="E23" s="4" t="n">
        <f aca="false">SQRT(('3. Weighted Normalized'!D23-'4. Ideal Solutions'!$B$6)^2+('3. Weighted Normalized'!E23-'4. Ideal Solutions'!$C$6)^2+('3. Weighted Normalized'!F23-'4. Ideal Solutions'!$D$6)^2+('3. Weighted Normalized'!G23-'4. Ideal Solutions'!$E$6)^2+('3. Weighted Normalized'!H23-'4. Ideal Solutions'!$F$6)^2+('3. Weighted Normalized'!I23-'4. Ideal Solutions'!$G$6)^2+('3. Weighted Normalized'!J23-'4. Ideal Solutions'!$H$6)^2+('3. Weighted Normalized'!K23-'4. Ideal Solutions'!$I$6)^2)</f>
        <v>0.00329446440331284</v>
      </c>
    </row>
    <row r="24" customFormat="false" ht="15" hidden="false" customHeight="false" outlineLevel="0" collapsed="false">
      <c r="A24" s="3" t="n">
        <f aca="false">'3. Weighted Normalized'!A24</f>
        <v>20</v>
      </c>
      <c r="B24" s="3" t="str">
        <f aca="false">'3. Weighted Normalized'!B24</f>
        <v>BIM-IoT integration</v>
      </c>
      <c r="C24" s="3" t="str">
        <f aca="false">'3. Weighted Normalized'!C24</f>
        <v>Just-in-Time</v>
      </c>
      <c r="D24" s="4" t="n">
        <f aca="false">SQRT(('3. Weighted Normalized'!D24-'4. Ideal Solutions'!$B$5)^2+('3. Weighted Normalized'!E24-'4. Ideal Solutions'!$C$5)^2+('3. Weighted Normalized'!F24-'4. Ideal Solutions'!$D$5)^2+('3. Weighted Normalized'!G24-'4. Ideal Solutions'!$E$5)^2+('3. Weighted Normalized'!H24-'4. Ideal Solutions'!$F$5)^2+('3. Weighted Normalized'!I24-'4. Ideal Solutions'!$G$5)^2+('3. Weighted Normalized'!J24-'4. Ideal Solutions'!$H$5)^2+('3. Weighted Normalized'!K24-'4. Ideal Solutions'!$I$5)^2)</f>
        <v>0.00349339629861995</v>
      </c>
      <c r="E24" s="4" t="n">
        <f aca="false">SQRT(('3. Weighted Normalized'!D24-'4. Ideal Solutions'!$B$6)^2+('3. Weighted Normalized'!E24-'4. Ideal Solutions'!$C$6)^2+('3. Weighted Normalized'!F24-'4. Ideal Solutions'!$D$6)^2+('3. Weighted Normalized'!G24-'4. Ideal Solutions'!$E$6)^2+('3. Weighted Normalized'!H24-'4. Ideal Solutions'!$F$6)^2+('3. Weighted Normalized'!I24-'4. Ideal Solutions'!$G$6)^2+('3. Weighted Normalized'!J24-'4. Ideal Solutions'!$H$6)^2+('3. Weighted Normalized'!K24-'4. Ideal Solutions'!$I$6)^2)</f>
        <v>0.00356142820204194</v>
      </c>
    </row>
    <row r="25" customFormat="false" ht="15" hidden="false" customHeight="false" outlineLevel="0" collapsed="false">
      <c r="A25" s="3" t="n">
        <f aca="false">'3. Weighted Normalized'!A25</f>
        <v>21</v>
      </c>
      <c r="B25" s="3" t="str">
        <f aca="false">'3. Weighted Normalized'!B25</f>
        <v>Cloud computing</v>
      </c>
      <c r="C25" s="3" t="str">
        <f aca="false">'3. Weighted Normalized'!C25</f>
        <v>Procurement Management</v>
      </c>
      <c r="D25" s="4" t="n">
        <f aca="false">SQRT(('3. Weighted Normalized'!D25-'4. Ideal Solutions'!$B$5)^2+('3. Weighted Normalized'!E25-'4. Ideal Solutions'!$C$5)^2+('3. Weighted Normalized'!F25-'4. Ideal Solutions'!$D$5)^2+('3. Weighted Normalized'!G25-'4. Ideal Solutions'!$E$5)^2+('3. Weighted Normalized'!H25-'4. Ideal Solutions'!$F$5)^2+('3. Weighted Normalized'!I25-'4. Ideal Solutions'!$G$5)^2+('3. Weighted Normalized'!J25-'4. Ideal Solutions'!$H$5)^2+('3. Weighted Normalized'!K25-'4. Ideal Solutions'!$I$5)^2)</f>
        <v>0.00287640145975624</v>
      </c>
      <c r="E25" s="4" t="n">
        <f aca="false">SQRT(('3. Weighted Normalized'!D25-'4. Ideal Solutions'!$B$6)^2+('3. Weighted Normalized'!E25-'4. Ideal Solutions'!$C$6)^2+('3. Weighted Normalized'!F25-'4. Ideal Solutions'!$D$6)^2+('3. Weighted Normalized'!G25-'4. Ideal Solutions'!$E$6)^2+('3. Weighted Normalized'!H25-'4. Ideal Solutions'!$F$6)^2+('3. Weighted Normalized'!I25-'4. Ideal Solutions'!$G$6)^2+('3. Weighted Normalized'!J25-'4. Ideal Solutions'!$H$6)^2+('3. Weighted Normalized'!K25-'4. Ideal Solutions'!$I$6)^2)</f>
        <v>0.00352338282054926</v>
      </c>
    </row>
    <row r="26" customFormat="false" ht="15" hidden="false" customHeight="false" outlineLevel="0" collapsed="false">
      <c r="A26" s="3" t="n">
        <f aca="false">'3. Weighted Normalized'!A26</f>
        <v>22</v>
      </c>
      <c r="B26" s="3" t="str">
        <f aca="false">'3. Weighted Normalized'!B26</f>
        <v>Cloud computing</v>
      </c>
      <c r="C26" s="3" t="str">
        <f aca="false">'3. Weighted Normalized'!C26</f>
        <v>Inventory Management</v>
      </c>
      <c r="D26" s="4" t="n">
        <f aca="false">SQRT(('3. Weighted Normalized'!D26-'4. Ideal Solutions'!$B$5)^2+('3. Weighted Normalized'!E26-'4. Ideal Solutions'!$C$5)^2+('3. Weighted Normalized'!F26-'4. Ideal Solutions'!$D$5)^2+('3. Weighted Normalized'!G26-'4. Ideal Solutions'!$E$5)^2+('3. Weighted Normalized'!H26-'4. Ideal Solutions'!$F$5)^2+('3. Weighted Normalized'!I26-'4. Ideal Solutions'!$G$5)^2+('3. Weighted Normalized'!J26-'4. Ideal Solutions'!$H$5)^2+('3. Weighted Normalized'!K26-'4. Ideal Solutions'!$I$5)^2)</f>
        <v>0.00162669167670467</v>
      </c>
      <c r="E26" s="4" t="n">
        <f aca="false">SQRT(('3. Weighted Normalized'!D26-'4. Ideal Solutions'!$B$6)^2+('3. Weighted Normalized'!E26-'4. Ideal Solutions'!$C$6)^2+('3. Weighted Normalized'!F26-'4. Ideal Solutions'!$D$6)^2+('3. Weighted Normalized'!G26-'4. Ideal Solutions'!$E$6)^2+('3. Weighted Normalized'!H26-'4. Ideal Solutions'!$F$6)^2+('3. Weighted Normalized'!I26-'4. Ideal Solutions'!$G$6)^2+('3. Weighted Normalized'!J26-'4. Ideal Solutions'!$H$6)^2+('3. Weighted Normalized'!K26-'4. Ideal Solutions'!$I$6)^2)</f>
        <v>0.00423125827163075</v>
      </c>
    </row>
    <row r="27" customFormat="false" ht="15" hidden="false" customHeight="false" outlineLevel="0" collapsed="false">
      <c r="A27" s="3" t="n">
        <f aca="false">'3. Weighted Normalized'!A27</f>
        <v>23</v>
      </c>
      <c r="B27" s="3" t="str">
        <f aca="false">'3. Weighted Normalized'!B27</f>
        <v>Cloud computing</v>
      </c>
      <c r="C27" s="3" t="str">
        <f aca="false">'3. Weighted Normalized'!C27</f>
        <v>Logistics Management</v>
      </c>
      <c r="D27" s="4" t="n">
        <f aca="false">SQRT(('3. Weighted Normalized'!D27-'4. Ideal Solutions'!$B$5)^2+('3. Weighted Normalized'!E27-'4. Ideal Solutions'!$C$5)^2+('3. Weighted Normalized'!F27-'4. Ideal Solutions'!$D$5)^2+('3. Weighted Normalized'!G27-'4. Ideal Solutions'!$E$5)^2+('3. Weighted Normalized'!H27-'4. Ideal Solutions'!$F$5)^2+('3. Weighted Normalized'!I27-'4. Ideal Solutions'!$G$5)^2+('3. Weighted Normalized'!J27-'4. Ideal Solutions'!$H$5)^2+('3. Weighted Normalized'!K27-'4. Ideal Solutions'!$I$5)^2)</f>
        <v>0.001848588409522</v>
      </c>
      <c r="E27" s="4" t="n">
        <f aca="false">SQRT(('3. Weighted Normalized'!D27-'4. Ideal Solutions'!$B$6)^2+('3. Weighted Normalized'!E27-'4. Ideal Solutions'!$C$6)^2+('3. Weighted Normalized'!F27-'4. Ideal Solutions'!$D$6)^2+('3. Weighted Normalized'!G27-'4. Ideal Solutions'!$E$6)^2+('3. Weighted Normalized'!H27-'4. Ideal Solutions'!$F$6)^2+('3. Weighted Normalized'!I27-'4. Ideal Solutions'!$G$6)^2+('3. Weighted Normalized'!J27-'4. Ideal Solutions'!$H$6)^2+('3. Weighted Normalized'!K27-'4. Ideal Solutions'!$I$6)^2)</f>
        <v>0.00431744053788285</v>
      </c>
    </row>
    <row r="28" customFormat="false" ht="15" hidden="false" customHeight="false" outlineLevel="0" collapsed="false">
      <c r="A28" s="3" t="n">
        <f aca="false">'3. Weighted Normalized'!A28</f>
        <v>24</v>
      </c>
      <c r="B28" s="3" t="str">
        <f aca="false">'3. Weighted Normalized'!B28</f>
        <v>Cloud computing</v>
      </c>
      <c r="C28" s="3" t="str">
        <f aca="false">'3. Weighted Normalized'!C28</f>
        <v>Supplier Management</v>
      </c>
      <c r="D28" s="4" t="n">
        <f aca="false">SQRT(('3. Weighted Normalized'!D28-'4. Ideal Solutions'!$B$5)^2+('3. Weighted Normalized'!E28-'4. Ideal Solutions'!$C$5)^2+('3. Weighted Normalized'!F28-'4. Ideal Solutions'!$D$5)^2+('3. Weighted Normalized'!G28-'4. Ideal Solutions'!$E$5)^2+('3. Weighted Normalized'!H28-'4. Ideal Solutions'!$F$5)^2+('3. Weighted Normalized'!I28-'4. Ideal Solutions'!$G$5)^2+('3. Weighted Normalized'!J28-'4. Ideal Solutions'!$H$5)^2+('3. Weighted Normalized'!K28-'4. Ideal Solutions'!$I$5)^2)</f>
        <v>0.00221050038589197</v>
      </c>
      <c r="E28" s="4" t="n">
        <f aca="false">SQRT(('3. Weighted Normalized'!D28-'4. Ideal Solutions'!$B$6)^2+('3. Weighted Normalized'!E28-'4. Ideal Solutions'!$C$6)^2+('3. Weighted Normalized'!F28-'4. Ideal Solutions'!$D$6)^2+('3. Weighted Normalized'!G28-'4. Ideal Solutions'!$E$6)^2+('3. Weighted Normalized'!H28-'4. Ideal Solutions'!$F$6)^2+('3. Weighted Normalized'!I28-'4. Ideal Solutions'!$G$6)^2+('3. Weighted Normalized'!J28-'4. Ideal Solutions'!$H$6)^2+('3. Weighted Normalized'!K28-'4. Ideal Solutions'!$I$6)^2)</f>
        <v>0.00383427088555917</v>
      </c>
    </row>
    <row r="29" customFormat="false" ht="15" hidden="false" customHeight="false" outlineLevel="0" collapsed="false">
      <c r="A29" s="3" t="n">
        <f aca="false">'3. Weighted Normalized'!A29</f>
        <v>25</v>
      </c>
      <c r="B29" s="3" t="str">
        <f aca="false">'3. Weighted Normalized'!B29</f>
        <v>Cloud computing</v>
      </c>
      <c r="C29" s="3" t="str">
        <f aca="false">'3. Weighted Normalized'!C29</f>
        <v>Just-in-Time</v>
      </c>
      <c r="D29" s="4" t="n">
        <f aca="false">SQRT(('3. Weighted Normalized'!D29-'4. Ideal Solutions'!$B$5)^2+('3. Weighted Normalized'!E29-'4. Ideal Solutions'!$C$5)^2+('3. Weighted Normalized'!F29-'4. Ideal Solutions'!$D$5)^2+('3. Weighted Normalized'!G29-'4. Ideal Solutions'!$E$5)^2+('3. Weighted Normalized'!H29-'4. Ideal Solutions'!$F$5)^2+('3. Weighted Normalized'!I29-'4. Ideal Solutions'!$G$5)^2+('3. Weighted Normalized'!J29-'4. Ideal Solutions'!$H$5)^2+('3. Weighted Normalized'!K29-'4. Ideal Solutions'!$I$5)^2)</f>
        <v>0.0025650334367897</v>
      </c>
      <c r="E29" s="4" t="n">
        <f aca="false">SQRT(('3. Weighted Normalized'!D29-'4. Ideal Solutions'!$B$6)^2+('3. Weighted Normalized'!E29-'4. Ideal Solutions'!$C$6)^2+('3. Weighted Normalized'!F29-'4. Ideal Solutions'!$D$6)^2+('3. Weighted Normalized'!G29-'4. Ideal Solutions'!$E$6)^2+('3. Weighted Normalized'!H29-'4. Ideal Solutions'!$F$6)^2+('3. Weighted Normalized'!I29-'4. Ideal Solutions'!$G$6)^2+('3. Weighted Normalized'!J29-'4. Ideal Solutions'!$H$6)^2+('3. Weighted Normalized'!K29-'4. Ideal Solutions'!$I$6)^2)</f>
        <v>0.00374022124464608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22"/>
    <col collapsed="false" customWidth="true" hidden="false" outlineLevel="0" max="7" min="7" style="0" width="8"/>
  </cols>
  <sheetData>
    <row r="1" customFormat="false" ht="16.15" hidden="false" customHeight="false" outlineLevel="0" collapsed="false">
      <c r="A1" s="1" t="s">
        <v>45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7" t="s">
        <v>46</v>
      </c>
      <c r="B2" s="7"/>
      <c r="C2" s="7"/>
      <c r="D2" s="7"/>
      <c r="E2" s="7"/>
      <c r="F2" s="7"/>
      <c r="G2" s="7"/>
    </row>
    <row r="4" customFormat="false" ht="23.85" hidden="false" customHeight="false" outlineLevel="0" collapsed="false">
      <c r="A4" s="8" t="s">
        <v>19</v>
      </c>
      <c r="B4" s="8" t="s">
        <v>20</v>
      </c>
      <c r="C4" s="8" t="s">
        <v>21</v>
      </c>
      <c r="D4" s="8" t="s">
        <v>47</v>
      </c>
      <c r="E4" s="8" t="s">
        <v>48</v>
      </c>
      <c r="F4" s="8" t="s">
        <v>49</v>
      </c>
      <c r="G4" s="8" t="s">
        <v>50</v>
      </c>
    </row>
    <row r="5" customFormat="false" ht="15" hidden="false" customHeight="false" outlineLevel="0" collapsed="false">
      <c r="A5" s="3" t="n">
        <f aca="false">'5. Separation Measures'!A5</f>
        <v>1</v>
      </c>
      <c r="B5" s="3" t="str">
        <f aca="false">'5. Separation Measures'!B5</f>
        <v>IoT Sensors</v>
      </c>
      <c r="C5" s="3" t="str">
        <f aca="false">'5. Separation Measures'!C5</f>
        <v>Procurement Management</v>
      </c>
      <c r="D5" s="4" t="n">
        <f aca="false">'5. Separation Measures'!D5</f>
        <v>0.00373238115374944</v>
      </c>
      <c r="E5" s="4" t="n">
        <f aca="false">'5. Separation Measures'!E5</f>
        <v>0.00311109322840759</v>
      </c>
      <c r="F5" s="13" t="n">
        <f aca="false">E5/(D5+E5)</f>
        <v>0.454607273246925</v>
      </c>
      <c r="G5" s="14" t="n">
        <f aca="false">RANK(F5,$F$5:$F$29,0)</f>
        <v>24</v>
      </c>
    </row>
    <row r="6" customFormat="false" ht="15" hidden="false" customHeight="false" outlineLevel="0" collapsed="false">
      <c r="A6" s="3" t="n">
        <f aca="false">'5. Separation Measures'!A6</f>
        <v>2</v>
      </c>
      <c r="B6" s="3" t="str">
        <f aca="false">'5. Separation Measures'!B6</f>
        <v>IoT Sensors</v>
      </c>
      <c r="C6" s="3" t="str">
        <f aca="false">'5. Separation Measures'!C6</f>
        <v>Inventory Management</v>
      </c>
      <c r="D6" s="4" t="n">
        <f aca="false">'5. Separation Measures'!D6</f>
        <v>0.00230850861482067</v>
      </c>
      <c r="E6" s="4" t="n">
        <f aca="false">'5. Separation Measures'!E6</f>
        <v>0.00349203717497542</v>
      </c>
      <c r="F6" s="13" t="n">
        <f aca="false">E6/(D6+E6)</f>
        <v>0.602018724017035</v>
      </c>
      <c r="G6" s="14" t="n">
        <f aca="false">RANK(F6,$F$5:$F$29,0)</f>
        <v>6</v>
      </c>
    </row>
    <row r="7" customFormat="false" ht="15" hidden="false" customHeight="false" outlineLevel="0" collapsed="false">
      <c r="A7" s="3" t="n">
        <f aca="false">'5. Separation Measures'!A7</f>
        <v>3</v>
      </c>
      <c r="B7" s="3" t="str">
        <f aca="false">'5. Separation Measures'!B7</f>
        <v>IoT Sensors</v>
      </c>
      <c r="C7" s="3" t="str">
        <f aca="false">'5. Separation Measures'!C7</f>
        <v>Logistics Management</v>
      </c>
      <c r="D7" s="4" t="n">
        <f aca="false">'5. Separation Measures'!D7</f>
        <v>0.00256373418013807</v>
      </c>
      <c r="E7" s="4" t="n">
        <f aca="false">'5. Separation Measures'!E7</f>
        <v>0.00366107053923699</v>
      </c>
      <c r="F7" s="13" t="n">
        <f aca="false">E7/(D7+E7)</f>
        <v>0.588142231649725</v>
      </c>
      <c r="G7" s="14" t="n">
        <f aca="false">RANK(F7,$F$5:$F$29,0)</f>
        <v>10</v>
      </c>
    </row>
    <row r="8" customFormat="false" ht="15" hidden="false" customHeight="false" outlineLevel="0" collapsed="false">
      <c r="A8" s="3" t="n">
        <f aca="false">'5. Separation Measures'!A8</f>
        <v>4</v>
      </c>
      <c r="B8" s="3" t="str">
        <f aca="false">'5. Separation Measures'!B8</f>
        <v>IoT Sensors</v>
      </c>
      <c r="C8" s="3" t="str">
        <f aca="false">'5. Separation Measures'!C8</f>
        <v>Supplier Management</v>
      </c>
      <c r="D8" s="4" t="n">
        <f aca="false">'5. Separation Measures'!D8</f>
        <v>0.00309550492069819</v>
      </c>
      <c r="E8" s="4" t="n">
        <f aca="false">'5. Separation Measures'!E8</f>
        <v>0.00331740302622557</v>
      </c>
      <c r="F8" s="13" t="n">
        <f aca="false">E8/(D8+E8)</f>
        <v>0.517300895893401</v>
      </c>
      <c r="G8" s="14" t="n">
        <f aca="false">RANK(F8,$F$5:$F$29,0)</f>
        <v>17</v>
      </c>
    </row>
    <row r="9" customFormat="false" ht="15" hidden="false" customHeight="false" outlineLevel="0" collapsed="false">
      <c r="A9" s="3" t="n">
        <f aca="false">'5. Separation Measures'!A9</f>
        <v>5</v>
      </c>
      <c r="B9" s="3" t="str">
        <f aca="false">'5. Separation Measures'!B9</f>
        <v>IoT Sensors</v>
      </c>
      <c r="C9" s="3" t="str">
        <f aca="false">'5. Separation Measures'!C9</f>
        <v>Just-in-Time</v>
      </c>
      <c r="D9" s="4" t="n">
        <f aca="false">'5. Separation Measures'!D9</f>
        <v>0.00314698099920757</v>
      </c>
      <c r="E9" s="4" t="n">
        <f aca="false">'5. Separation Measures'!E9</f>
        <v>0.00298681078961355</v>
      </c>
      <c r="F9" s="13" t="n">
        <f aca="false">E9/(D9+E9)</f>
        <v>0.486943621897475</v>
      </c>
      <c r="G9" s="14" t="n">
        <f aca="false">RANK(F9,$F$5:$F$29,0)</f>
        <v>20</v>
      </c>
    </row>
    <row r="10" customFormat="false" ht="15" hidden="false" customHeight="false" outlineLevel="0" collapsed="false">
      <c r="A10" s="3" t="n">
        <f aca="false">'5. Separation Measures'!A10</f>
        <v>6</v>
      </c>
      <c r="B10" s="3" t="str">
        <f aca="false">'5. Separation Measures'!B10</f>
        <v>RFID</v>
      </c>
      <c r="C10" s="3" t="str">
        <f aca="false">'5. Separation Measures'!C10</f>
        <v>Procurement Management</v>
      </c>
      <c r="D10" s="4" t="n">
        <f aca="false">'5. Separation Measures'!D10</f>
        <v>0.00397597659187339</v>
      </c>
      <c r="E10" s="4" t="n">
        <f aca="false">'5. Separation Measures'!E10</f>
        <v>0.00297564833957605</v>
      </c>
      <c r="F10" s="13" t="n">
        <f aca="false">E10/(D10+E10)</f>
        <v>0.428050760637861</v>
      </c>
      <c r="G10" s="14" t="n">
        <f aca="false">RANK(F10,$F$5:$F$29,0)</f>
        <v>25</v>
      </c>
    </row>
    <row r="11" customFormat="false" ht="15" hidden="false" customHeight="false" outlineLevel="0" collapsed="false">
      <c r="A11" s="3" t="n">
        <f aca="false">'5. Separation Measures'!A11</f>
        <v>7</v>
      </c>
      <c r="B11" s="3" t="str">
        <f aca="false">'5. Separation Measures'!B11</f>
        <v>RFID</v>
      </c>
      <c r="C11" s="3" t="str">
        <f aca="false">'5. Separation Measures'!C11</f>
        <v>Inventory Management</v>
      </c>
      <c r="D11" s="4" t="n">
        <f aca="false">'5. Separation Measures'!D11</f>
        <v>0.0030103706816615</v>
      </c>
      <c r="E11" s="4" t="n">
        <f aca="false">'5. Separation Measures'!E11</f>
        <v>0.00363666116519442</v>
      </c>
      <c r="F11" s="13" t="n">
        <f aca="false">E11/(D11+E11)</f>
        <v>0.547110537301635</v>
      </c>
      <c r="G11" s="14" t="n">
        <f aca="false">RANK(F11,$F$5:$F$29,0)</f>
        <v>14</v>
      </c>
    </row>
    <row r="12" customFormat="false" ht="15" hidden="false" customHeight="false" outlineLevel="0" collapsed="false">
      <c r="A12" s="3" t="n">
        <f aca="false">'5. Separation Measures'!A12</f>
        <v>8</v>
      </c>
      <c r="B12" s="3" t="str">
        <f aca="false">'5. Separation Measures'!B12</f>
        <v>RFID</v>
      </c>
      <c r="C12" s="3" t="str">
        <f aca="false">'5. Separation Measures'!C12</f>
        <v>Logistics Management</v>
      </c>
      <c r="D12" s="4" t="n">
        <f aca="false">'5. Separation Measures'!D12</f>
        <v>0.00286110279904734</v>
      </c>
      <c r="E12" s="4" t="n">
        <f aca="false">'5. Separation Measures'!E12</f>
        <v>0.00350919862024</v>
      </c>
      <c r="F12" s="13" t="n">
        <f aca="false">E12/(D12+E12)</f>
        <v>0.550868536552323</v>
      </c>
      <c r="G12" s="14" t="n">
        <f aca="false">RANK(F12,$F$5:$F$29,0)</f>
        <v>12</v>
      </c>
    </row>
    <row r="13" customFormat="false" ht="15" hidden="false" customHeight="false" outlineLevel="0" collapsed="false">
      <c r="A13" s="3" t="n">
        <f aca="false">'5. Separation Measures'!A13</f>
        <v>9</v>
      </c>
      <c r="B13" s="3" t="str">
        <f aca="false">'5. Separation Measures'!B13</f>
        <v>RFID</v>
      </c>
      <c r="C13" s="3" t="str">
        <f aca="false">'5. Separation Measures'!C13</f>
        <v>Supplier Management</v>
      </c>
      <c r="D13" s="4" t="n">
        <f aca="false">'5. Separation Measures'!D13</f>
        <v>0.00349414679322661</v>
      </c>
      <c r="E13" s="4" t="n">
        <f aca="false">'5. Separation Measures'!E13</f>
        <v>0.00330604523860104</v>
      </c>
      <c r="F13" s="13" t="n">
        <f aca="false">E13/(D13+E13)</f>
        <v>0.486169393912321</v>
      </c>
      <c r="G13" s="14" t="n">
        <f aca="false">RANK(F13,$F$5:$F$29,0)</f>
        <v>21</v>
      </c>
    </row>
    <row r="14" customFormat="false" ht="15" hidden="false" customHeight="false" outlineLevel="0" collapsed="false">
      <c r="A14" s="3" t="n">
        <f aca="false">'5. Separation Measures'!A14</f>
        <v>10</v>
      </c>
      <c r="B14" s="3" t="str">
        <f aca="false">'5. Separation Measures'!B14</f>
        <v>RFID</v>
      </c>
      <c r="C14" s="3" t="str">
        <f aca="false">'5. Separation Measures'!C14</f>
        <v>Just-in-Time</v>
      </c>
      <c r="D14" s="4" t="n">
        <f aca="false">'5. Separation Measures'!D14</f>
        <v>0.00362744779856395</v>
      </c>
      <c r="E14" s="4" t="n">
        <f aca="false">'5. Separation Measures'!E14</f>
        <v>0.00307795191606396</v>
      </c>
      <c r="F14" s="13" t="n">
        <f aca="false">E14/(D14+E14)</f>
        <v>0.459025866772621</v>
      </c>
      <c r="G14" s="14" t="n">
        <f aca="false">RANK(F14,$F$5:$F$29,0)</f>
        <v>23</v>
      </c>
    </row>
    <row r="15" customFormat="false" ht="15" hidden="false" customHeight="false" outlineLevel="0" collapsed="false">
      <c r="A15" s="3" t="n">
        <f aca="false">'5. Separation Measures'!A15</f>
        <v>11</v>
      </c>
      <c r="B15" s="3" t="str">
        <f aca="false">'5. Separation Measures'!B15</f>
        <v>GPS</v>
      </c>
      <c r="C15" s="3" t="str">
        <f aca="false">'5. Separation Measures'!C15</f>
        <v>Procurement Management</v>
      </c>
      <c r="D15" s="4" t="n">
        <f aca="false">'5. Separation Measures'!D15</f>
        <v>0.00337577234752964</v>
      </c>
      <c r="E15" s="4" t="n">
        <f aca="false">'5. Separation Measures'!E15</f>
        <v>0.00329681164780972</v>
      </c>
      <c r="F15" s="13" t="n">
        <f aca="false">E15/(D15+E15)</f>
        <v>0.494083199269198</v>
      </c>
      <c r="G15" s="14" t="n">
        <f aca="false">RANK(F15,$F$5:$F$29,0)</f>
        <v>19</v>
      </c>
    </row>
    <row r="16" customFormat="false" ht="15" hidden="false" customHeight="false" outlineLevel="0" collapsed="false">
      <c r="A16" s="3" t="n">
        <f aca="false">'5. Separation Measures'!A16</f>
        <v>12</v>
      </c>
      <c r="B16" s="3" t="str">
        <f aca="false">'5. Separation Measures'!B16</f>
        <v>GPS</v>
      </c>
      <c r="C16" s="3" t="str">
        <f aca="false">'5. Separation Measures'!C16</f>
        <v>Inventory Management</v>
      </c>
      <c r="D16" s="4" t="n">
        <f aca="false">'5. Separation Measures'!D16</f>
        <v>0.00244283505456805</v>
      </c>
      <c r="E16" s="4" t="n">
        <f aca="false">'5. Separation Measures'!E16</f>
        <v>0.00406908476322921</v>
      </c>
      <c r="F16" s="13" t="n">
        <f aca="false">E16/(D16+E16)</f>
        <v>0.624867147796919</v>
      </c>
      <c r="G16" s="14" t="n">
        <f aca="false">RANK(F16,$F$5:$F$29,0)</f>
        <v>5</v>
      </c>
    </row>
    <row r="17" customFormat="false" ht="15" hidden="false" customHeight="false" outlineLevel="0" collapsed="false">
      <c r="A17" s="3" t="n">
        <f aca="false">'5. Separation Measures'!A17</f>
        <v>13</v>
      </c>
      <c r="B17" s="3" t="str">
        <f aca="false">'5. Separation Measures'!B17</f>
        <v>GPS</v>
      </c>
      <c r="C17" s="3" t="str">
        <f aca="false">'5. Separation Measures'!C17</f>
        <v>Logistics Management</v>
      </c>
      <c r="D17" s="4" t="n">
        <f aca="false">'5. Separation Measures'!D17</f>
        <v>0.00237753784700531</v>
      </c>
      <c r="E17" s="4" t="n">
        <f aca="false">'5. Separation Measures'!E17</f>
        <v>0.0040259516714203</v>
      </c>
      <c r="F17" s="13" t="n">
        <f aca="false">E17/(D17+E17)</f>
        <v>0.62871215137245</v>
      </c>
      <c r="G17" s="14" t="n">
        <f aca="false">RANK(F17,$F$5:$F$29,0)</f>
        <v>4</v>
      </c>
    </row>
    <row r="18" customFormat="false" ht="15" hidden="false" customHeight="false" outlineLevel="0" collapsed="false">
      <c r="A18" s="3" t="n">
        <f aca="false">'5. Separation Measures'!A18</f>
        <v>14</v>
      </c>
      <c r="B18" s="3" t="str">
        <f aca="false">'5. Separation Measures'!B18</f>
        <v>GPS</v>
      </c>
      <c r="C18" s="3" t="str">
        <f aca="false">'5. Separation Measures'!C18</f>
        <v>Supplier Management</v>
      </c>
      <c r="D18" s="4" t="n">
        <f aca="false">'5. Separation Measures'!D18</f>
        <v>0.00292644345316381</v>
      </c>
      <c r="E18" s="4" t="n">
        <f aca="false">'5. Separation Measures'!E18</f>
        <v>0.00370296901265966</v>
      </c>
      <c r="F18" s="13" t="n">
        <f aca="false">E18/(D18+E18)</f>
        <v>0.558566695276472</v>
      </c>
      <c r="G18" s="14" t="n">
        <f aca="false">RANK(F18,$F$5:$F$29,0)</f>
        <v>11</v>
      </c>
    </row>
    <row r="19" customFormat="false" ht="15" hidden="false" customHeight="false" outlineLevel="0" collapsed="false">
      <c r="A19" s="3" t="n">
        <f aca="false">'5. Separation Measures'!A19</f>
        <v>15</v>
      </c>
      <c r="B19" s="3" t="str">
        <f aca="false">'5. Separation Measures'!B19</f>
        <v>GPS</v>
      </c>
      <c r="C19" s="3" t="str">
        <f aca="false">'5. Separation Measures'!C19</f>
        <v>Just-in-Time</v>
      </c>
      <c r="D19" s="4" t="n">
        <f aca="false">'5. Separation Measures'!D19</f>
        <v>0.00309324030590885</v>
      </c>
      <c r="E19" s="4" t="n">
        <f aca="false">'5. Separation Measures'!E19</f>
        <v>0.00350864375129279</v>
      </c>
      <c r="F19" s="13" t="n">
        <f aca="false">E19/(D19+E19)</f>
        <v>0.531460977032064</v>
      </c>
      <c r="G19" s="14" t="n">
        <f aca="false">RANK(F19,$F$5:$F$29,0)</f>
        <v>16</v>
      </c>
    </row>
    <row r="20" customFormat="false" ht="15" hidden="false" customHeight="false" outlineLevel="0" collapsed="false">
      <c r="A20" s="3" t="n">
        <f aca="false">'5. Separation Measures'!A20</f>
        <v>16</v>
      </c>
      <c r="B20" s="3" t="str">
        <f aca="false">'5. Separation Measures'!B20</f>
        <v>BIM-IoT integration</v>
      </c>
      <c r="C20" s="3" t="str">
        <f aca="false">'5. Separation Measures'!C20</f>
        <v>Procurement Management</v>
      </c>
      <c r="D20" s="4" t="n">
        <f aca="false">'5. Separation Measures'!D20</f>
        <v>0.00341692807139169</v>
      </c>
      <c r="E20" s="4" t="n">
        <f aca="false">'5. Separation Measures'!E20</f>
        <v>0.00298094503464151</v>
      </c>
      <c r="F20" s="13" t="n">
        <f aca="false">E20/(D20+E20)</f>
        <v>0.46592750203665</v>
      </c>
      <c r="G20" s="14" t="n">
        <f aca="false">RANK(F20,$F$5:$F$29,0)</f>
        <v>22</v>
      </c>
    </row>
    <row r="21" customFormat="false" ht="15" hidden="false" customHeight="false" outlineLevel="0" collapsed="false">
      <c r="A21" s="3" t="n">
        <f aca="false">'5. Separation Measures'!A21</f>
        <v>17</v>
      </c>
      <c r="B21" s="3" t="str">
        <f aca="false">'5. Separation Measures'!B21</f>
        <v>BIM-IoT integration</v>
      </c>
      <c r="C21" s="3" t="str">
        <f aca="false">'5. Separation Measures'!C21</f>
        <v>Inventory Management</v>
      </c>
      <c r="D21" s="4" t="n">
        <f aca="false">'5. Separation Measures'!D21</f>
        <v>0.00267920171336365</v>
      </c>
      <c r="E21" s="4" t="n">
        <f aca="false">'5. Separation Measures'!E21</f>
        <v>0.00393771980759292</v>
      </c>
      <c r="F21" s="13" t="n">
        <f aca="false">E21/(D21+E21)</f>
        <v>0.59509846008022</v>
      </c>
      <c r="G21" s="14" t="n">
        <f aca="false">RANK(F21,$F$5:$F$29,0)</f>
        <v>8</v>
      </c>
    </row>
    <row r="22" customFormat="false" ht="15" hidden="false" customHeight="false" outlineLevel="0" collapsed="false">
      <c r="A22" s="3" t="n">
        <f aca="false">'5. Separation Measures'!A22</f>
        <v>18</v>
      </c>
      <c r="B22" s="3" t="str">
        <f aca="false">'5. Separation Measures'!B22</f>
        <v>BIM-IoT integration</v>
      </c>
      <c r="C22" s="3" t="str">
        <f aca="false">'5. Separation Measures'!C22</f>
        <v>Logistics Management</v>
      </c>
      <c r="D22" s="4" t="n">
        <f aca="false">'5. Separation Measures'!D22</f>
        <v>0.00264358155151528</v>
      </c>
      <c r="E22" s="4" t="n">
        <f aca="false">'5. Separation Measures'!E22</f>
        <v>0.00390917277974287</v>
      </c>
      <c r="F22" s="13" t="n">
        <f aca="false">E22/(D22+E22)</f>
        <v>0.596569409155965</v>
      </c>
      <c r="G22" s="14" t="n">
        <f aca="false">RANK(F22,$F$5:$F$29,0)</f>
        <v>7</v>
      </c>
    </row>
    <row r="23" customFormat="false" ht="15" hidden="false" customHeight="false" outlineLevel="0" collapsed="false">
      <c r="A23" s="3" t="n">
        <f aca="false">'5. Separation Measures'!A23</f>
        <v>19</v>
      </c>
      <c r="B23" s="3" t="str">
        <f aca="false">'5. Separation Measures'!B23</f>
        <v>BIM-IoT integration</v>
      </c>
      <c r="C23" s="3" t="str">
        <f aca="false">'5. Separation Measures'!C23</f>
        <v>Supplier Management</v>
      </c>
      <c r="D23" s="4" t="n">
        <f aca="false">'5. Separation Measures'!D23</f>
        <v>0.00282277872403094</v>
      </c>
      <c r="E23" s="4" t="n">
        <f aca="false">'5. Separation Measures'!E23</f>
        <v>0.00329446440331284</v>
      </c>
      <c r="F23" s="13" t="n">
        <f aca="false">E23/(D23+E23)</f>
        <v>0.538553779003281</v>
      </c>
      <c r="G23" s="14" t="n">
        <f aca="false">RANK(F23,$F$5:$F$29,0)</f>
        <v>15</v>
      </c>
    </row>
    <row r="24" customFormat="false" ht="15" hidden="false" customHeight="false" outlineLevel="0" collapsed="false">
      <c r="A24" s="3" t="n">
        <f aca="false">'5. Separation Measures'!A24</f>
        <v>20</v>
      </c>
      <c r="B24" s="3" t="str">
        <f aca="false">'5. Separation Measures'!B24</f>
        <v>BIM-IoT integration</v>
      </c>
      <c r="C24" s="3" t="str">
        <f aca="false">'5. Separation Measures'!C24</f>
        <v>Just-in-Time</v>
      </c>
      <c r="D24" s="4" t="n">
        <f aca="false">'5. Separation Measures'!D24</f>
        <v>0.00349339629861995</v>
      </c>
      <c r="E24" s="4" t="n">
        <f aca="false">'5. Separation Measures'!E24</f>
        <v>0.00356142820204194</v>
      </c>
      <c r="F24" s="13" t="n">
        <f aca="false">E24/(D24+E24)</f>
        <v>0.504821658101886</v>
      </c>
      <c r="G24" s="14" t="n">
        <f aca="false">RANK(F24,$F$5:$F$29,0)</f>
        <v>18</v>
      </c>
    </row>
    <row r="25" customFormat="false" ht="15" hidden="false" customHeight="false" outlineLevel="0" collapsed="false">
      <c r="A25" s="3" t="n">
        <f aca="false">'5. Separation Measures'!A25</f>
        <v>21</v>
      </c>
      <c r="B25" s="3" t="str">
        <f aca="false">'5. Separation Measures'!B25</f>
        <v>Cloud computing</v>
      </c>
      <c r="C25" s="3" t="str">
        <f aca="false">'5. Separation Measures'!C25</f>
        <v>Procurement Management</v>
      </c>
      <c r="D25" s="4" t="n">
        <f aca="false">'5. Separation Measures'!D25</f>
        <v>0.00287640145975624</v>
      </c>
      <c r="E25" s="4" t="n">
        <f aca="false">'5. Separation Measures'!E25</f>
        <v>0.00352338282054926</v>
      </c>
      <c r="F25" s="13" t="n">
        <f aca="false">E25/(D25+E25)</f>
        <v>0.550547122563492</v>
      </c>
      <c r="G25" s="14" t="n">
        <f aca="false">RANK(F25,$F$5:$F$29,0)</f>
        <v>13</v>
      </c>
    </row>
    <row r="26" customFormat="false" ht="15" hidden="false" customHeight="false" outlineLevel="0" collapsed="false">
      <c r="A26" s="3" t="n">
        <f aca="false">'5. Separation Measures'!A26</f>
        <v>22</v>
      </c>
      <c r="B26" s="3" t="str">
        <f aca="false">'5. Separation Measures'!B26</f>
        <v>Cloud computing</v>
      </c>
      <c r="C26" s="3" t="str">
        <f aca="false">'5. Separation Measures'!C26</f>
        <v>Inventory Management</v>
      </c>
      <c r="D26" s="4" t="n">
        <f aca="false">'5. Separation Measures'!D26</f>
        <v>0.00162669167670467</v>
      </c>
      <c r="E26" s="4" t="n">
        <f aca="false">'5. Separation Measures'!E26</f>
        <v>0.00423125827163075</v>
      </c>
      <c r="F26" s="13" t="n">
        <f aca="false">E26/(D26+E26)</f>
        <v>0.722310417287381</v>
      </c>
      <c r="G26" s="14" t="n">
        <f aca="false">RANK(F26,$F$5:$F$29,0)</f>
        <v>1</v>
      </c>
    </row>
    <row r="27" customFormat="false" ht="15" hidden="false" customHeight="false" outlineLevel="0" collapsed="false">
      <c r="A27" s="3" t="n">
        <f aca="false">'5. Separation Measures'!A27</f>
        <v>23</v>
      </c>
      <c r="B27" s="3" t="str">
        <f aca="false">'5. Separation Measures'!B27</f>
        <v>Cloud computing</v>
      </c>
      <c r="C27" s="3" t="str">
        <f aca="false">'5. Separation Measures'!C27</f>
        <v>Logistics Management</v>
      </c>
      <c r="D27" s="4" t="n">
        <f aca="false">'5. Separation Measures'!D27</f>
        <v>0.001848588409522</v>
      </c>
      <c r="E27" s="4" t="n">
        <f aca="false">'5. Separation Measures'!E27</f>
        <v>0.00431744053788285</v>
      </c>
      <c r="F27" s="13" t="n">
        <f aca="false">E27/(D27+E27)</f>
        <v>0.700197902849608</v>
      </c>
      <c r="G27" s="14" t="n">
        <f aca="false">RANK(F27,$F$5:$F$29,0)</f>
        <v>2</v>
      </c>
    </row>
    <row r="28" customFormat="false" ht="15" hidden="false" customHeight="false" outlineLevel="0" collapsed="false">
      <c r="A28" s="3" t="n">
        <f aca="false">'5. Separation Measures'!A28</f>
        <v>24</v>
      </c>
      <c r="B28" s="3" t="str">
        <f aca="false">'5. Separation Measures'!B28</f>
        <v>Cloud computing</v>
      </c>
      <c r="C28" s="3" t="str">
        <f aca="false">'5. Separation Measures'!C28</f>
        <v>Supplier Management</v>
      </c>
      <c r="D28" s="4" t="n">
        <f aca="false">'5. Separation Measures'!D28</f>
        <v>0.00221050038589197</v>
      </c>
      <c r="E28" s="4" t="n">
        <f aca="false">'5. Separation Measures'!E28</f>
        <v>0.00383427088555917</v>
      </c>
      <c r="F28" s="13" t="n">
        <f aca="false">E28/(D28+E28)</f>
        <v>0.634311988555804</v>
      </c>
      <c r="G28" s="14" t="n">
        <f aca="false">RANK(F28,$F$5:$F$29,0)</f>
        <v>3</v>
      </c>
    </row>
    <row r="29" customFormat="false" ht="15" hidden="false" customHeight="false" outlineLevel="0" collapsed="false">
      <c r="A29" s="3" t="n">
        <f aca="false">'5. Separation Measures'!A29</f>
        <v>25</v>
      </c>
      <c r="B29" s="3" t="str">
        <f aca="false">'5. Separation Measures'!B29</f>
        <v>Cloud computing</v>
      </c>
      <c r="C29" s="3" t="str">
        <f aca="false">'5. Separation Measures'!C29</f>
        <v>Just-in-Time</v>
      </c>
      <c r="D29" s="4" t="n">
        <f aca="false">'5. Separation Measures'!D29</f>
        <v>0.0025650334367897</v>
      </c>
      <c r="E29" s="4" t="n">
        <f aca="false">'5. Separation Measures'!E29</f>
        <v>0.00374022124464608</v>
      </c>
      <c r="F29" s="13" t="n">
        <f aca="false">E29/(D29+E29)</f>
        <v>0.593191145102863</v>
      </c>
      <c r="G29" s="14" t="n">
        <f aca="false">RANK(F29,$F$5:$F$29,0)</f>
        <v>9</v>
      </c>
    </row>
    <row r="32" customFormat="false" ht="16.15" hidden="false" customHeight="false" outlineLevel="0" collapsed="false">
      <c r="A32" s="1" t="s">
        <v>51</v>
      </c>
      <c r="B32" s="1"/>
      <c r="C32" s="1"/>
      <c r="D32" s="1"/>
      <c r="E32" s="1"/>
      <c r="F32" s="1"/>
      <c r="G32" s="1"/>
    </row>
    <row r="34" customFormat="false" ht="15" hidden="false" customHeight="false" outlineLevel="0" collapsed="false">
      <c r="A34" s="2" t="s">
        <v>50</v>
      </c>
      <c r="B34" s="2" t="s">
        <v>20</v>
      </c>
      <c r="C34" s="2" t="s">
        <v>21</v>
      </c>
      <c r="D34" s="2" t="s">
        <v>49</v>
      </c>
    </row>
    <row r="35" customFormat="false" ht="15" hidden="false" customHeight="false" outlineLevel="0" collapsed="false">
      <c r="A35" s="3" t="n">
        <v>1</v>
      </c>
      <c r="B35" s="3" t="str">
        <f aca="false">INDEX($B$5:$B$29,MATCH(1,$G$5:$G$29,0))</f>
        <v>Cloud computing</v>
      </c>
      <c r="C35" s="3" t="str">
        <f aca="false">INDEX($C$5:$C$29,MATCH(1,$G$5:$G$29,0))</f>
        <v>Inventory Management</v>
      </c>
      <c r="D35" s="4" t="n">
        <f aca="false">INDEX($F$5:$F$29,MATCH(1,$G$5:$G$29,0))</f>
        <v>0.722310417287381</v>
      </c>
    </row>
    <row r="36" customFormat="false" ht="15" hidden="false" customHeight="false" outlineLevel="0" collapsed="false">
      <c r="A36" s="3" t="n">
        <v>2</v>
      </c>
      <c r="B36" s="3" t="str">
        <f aca="false">INDEX($B$5:$B$29,MATCH(2,$G$5:$G$29,0))</f>
        <v>Cloud computing</v>
      </c>
      <c r="C36" s="3" t="str">
        <f aca="false">INDEX($C$5:$C$29,MATCH(2,$G$5:$G$29,0))</f>
        <v>Logistics Management</v>
      </c>
      <c r="D36" s="4" t="n">
        <f aca="false">INDEX($F$5:$F$29,MATCH(2,$G$5:$G$29,0))</f>
        <v>0.700197902849608</v>
      </c>
    </row>
    <row r="37" customFormat="false" ht="15" hidden="false" customHeight="false" outlineLevel="0" collapsed="false">
      <c r="A37" s="3" t="n">
        <v>3</v>
      </c>
      <c r="B37" s="3" t="str">
        <f aca="false">INDEX($B$5:$B$29,MATCH(3,$G$5:$G$29,0))</f>
        <v>Cloud computing</v>
      </c>
      <c r="C37" s="3" t="str">
        <f aca="false">INDEX($C$5:$C$29,MATCH(3,$G$5:$G$29,0))</f>
        <v>Supplier Management</v>
      </c>
      <c r="D37" s="4" t="n">
        <f aca="false">INDEX($F$5:$F$29,MATCH(3,$G$5:$G$29,0))</f>
        <v>0.634311988555804</v>
      </c>
    </row>
    <row r="38" customFormat="false" ht="15" hidden="false" customHeight="false" outlineLevel="0" collapsed="false">
      <c r="A38" s="3" t="n">
        <v>4</v>
      </c>
      <c r="B38" s="3" t="str">
        <f aca="false">INDEX($B$5:$B$29,MATCH(4,$G$5:$G$29,0))</f>
        <v>GPS</v>
      </c>
      <c r="C38" s="3" t="str">
        <f aca="false">INDEX($C$5:$C$29,MATCH(4,$G$5:$G$29,0))</f>
        <v>Logistics Management</v>
      </c>
      <c r="D38" s="4" t="n">
        <f aca="false">INDEX($F$5:$F$29,MATCH(4,$G$5:$G$29,0))</f>
        <v>0.62871215137245</v>
      </c>
    </row>
    <row r="39" customFormat="false" ht="15" hidden="false" customHeight="false" outlineLevel="0" collapsed="false">
      <c r="A39" s="3" t="n">
        <v>5</v>
      </c>
      <c r="B39" s="3" t="str">
        <f aca="false">INDEX($B$5:$B$29,MATCH(5,$G$5:$G$29,0))</f>
        <v>GPS</v>
      </c>
      <c r="C39" s="3" t="str">
        <f aca="false">INDEX($C$5:$C$29,MATCH(5,$G$5:$G$29,0))</f>
        <v>Inventory Management</v>
      </c>
      <c r="D39" s="4" t="n">
        <f aca="false">INDEX($F$5:$F$29,MATCH(5,$G$5:$G$29,0))</f>
        <v>0.624867147796919</v>
      </c>
    </row>
    <row r="40" customFormat="false" ht="15" hidden="false" customHeight="false" outlineLevel="0" collapsed="false">
      <c r="A40" s="3" t="n">
        <v>6</v>
      </c>
      <c r="B40" s="3" t="str">
        <f aca="false">INDEX($B$5:$B$29,MATCH(6,$G$5:$G$29,0))</f>
        <v>IoT Sensors</v>
      </c>
      <c r="C40" s="3" t="str">
        <f aca="false">INDEX($C$5:$C$29,MATCH(6,$G$5:$G$29,0))</f>
        <v>Inventory Management</v>
      </c>
      <c r="D40" s="4" t="n">
        <f aca="false">INDEX($F$5:$F$29,MATCH(6,$G$5:$G$29,0))</f>
        <v>0.602018724017035</v>
      </c>
    </row>
    <row r="41" customFormat="false" ht="15" hidden="false" customHeight="false" outlineLevel="0" collapsed="false">
      <c r="A41" s="3" t="n">
        <v>7</v>
      </c>
      <c r="B41" s="3" t="str">
        <f aca="false">INDEX($B$5:$B$29,MATCH(7,$G$5:$G$29,0))</f>
        <v>BIM-IoT integration</v>
      </c>
      <c r="C41" s="3" t="str">
        <f aca="false">INDEX($C$5:$C$29,MATCH(7,$G$5:$G$29,0))</f>
        <v>Logistics Management</v>
      </c>
      <c r="D41" s="4" t="n">
        <f aca="false">INDEX($F$5:$F$29,MATCH(7,$G$5:$G$29,0))</f>
        <v>0.596569409155965</v>
      </c>
    </row>
    <row r="42" customFormat="false" ht="15" hidden="false" customHeight="false" outlineLevel="0" collapsed="false">
      <c r="A42" s="3" t="n">
        <v>8</v>
      </c>
      <c r="B42" s="3" t="str">
        <f aca="false">INDEX($B$5:$B$29,MATCH(8,$G$5:$G$29,0))</f>
        <v>BIM-IoT integration</v>
      </c>
      <c r="C42" s="3" t="str">
        <f aca="false">INDEX($C$5:$C$29,MATCH(8,$G$5:$G$29,0))</f>
        <v>Inventory Management</v>
      </c>
      <c r="D42" s="4" t="n">
        <f aca="false">INDEX($F$5:$F$29,MATCH(8,$G$5:$G$29,0))</f>
        <v>0.59509846008022</v>
      </c>
    </row>
    <row r="43" customFormat="false" ht="15" hidden="false" customHeight="false" outlineLevel="0" collapsed="false">
      <c r="A43" s="3" t="n">
        <v>9</v>
      </c>
      <c r="B43" s="3" t="str">
        <f aca="false">INDEX($B$5:$B$29,MATCH(9,$G$5:$G$29,0))</f>
        <v>Cloud computing</v>
      </c>
      <c r="C43" s="3" t="str">
        <f aca="false">INDEX($C$5:$C$29,MATCH(9,$G$5:$G$29,0))</f>
        <v>Just-in-Time</v>
      </c>
      <c r="D43" s="4" t="n">
        <f aca="false">INDEX($F$5:$F$29,MATCH(9,$G$5:$G$29,0))</f>
        <v>0.593191145102863</v>
      </c>
    </row>
    <row r="44" customFormat="false" ht="15" hidden="false" customHeight="false" outlineLevel="0" collapsed="false">
      <c r="A44" s="3" t="n">
        <v>10</v>
      </c>
      <c r="B44" s="3" t="str">
        <f aca="false">INDEX($B$5:$B$29,MATCH(10,$G$5:$G$29,0))</f>
        <v>IoT Sensors</v>
      </c>
      <c r="C44" s="3" t="str">
        <f aca="false">INDEX($C$5:$C$29,MATCH(10,$G$5:$G$29,0))</f>
        <v>Logistics Management</v>
      </c>
      <c r="D44" s="4" t="n">
        <f aca="false">INDEX($F$5:$F$29,MATCH(10,$G$5:$G$29,0))</f>
        <v>0.588142231649725</v>
      </c>
    </row>
    <row r="45" customFormat="false" ht="15" hidden="false" customHeight="false" outlineLevel="0" collapsed="false">
      <c r="A45" s="3" t="n">
        <v>11</v>
      </c>
      <c r="B45" s="3" t="str">
        <f aca="false">INDEX($B$5:$B$29,MATCH(11,$G$5:$G$29,0))</f>
        <v>GPS</v>
      </c>
      <c r="C45" s="3" t="str">
        <f aca="false">INDEX($C$5:$C$29,MATCH(11,$G$5:$G$29,0))</f>
        <v>Supplier Management</v>
      </c>
      <c r="D45" s="4" t="n">
        <f aca="false">INDEX($F$5:$F$29,MATCH(11,$G$5:$G$29,0))</f>
        <v>0.558566695276472</v>
      </c>
    </row>
    <row r="46" customFormat="false" ht="15" hidden="false" customHeight="false" outlineLevel="0" collapsed="false">
      <c r="A46" s="3" t="n">
        <v>12</v>
      </c>
      <c r="B46" s="3" t="str">
        <f aca="false">INDEX($B$5:$B$29,MATCH(12,$G$5:$G$29,0))</f>
        <v>RFID</v>
      </c>
      <c r="C46" s="3" t="str">
        <f aca="false">INDEX($C$5:$C$29,MATCH(12,$G$5:$G$29,0))</f>
        <v>Logistics Management</v>
      </c>
      <c r="D46" s="4" t="n">
        <f aca="false">INDEX($F$5:$F$29,MATCH(12,$G$5:$G$29,0))</f>
        <v>0.550868536552323</v>
      </c>
    </row>
    <row r="47" customFormat="false" ht="15" hidden="false" customHeight="false" outlineLevel="0" collapsed="false">
      <c r="A47" s="3" t="n">
        <v>13</v>
      </c>
      <c r="B47" s="3" t="str">
        <f aca="false">INDEX($B$5:$B$29,MATCH(13,$G$5:$G$29,0))</f>
        <v>Cloud computing</v>
      </c>
      <c r="C47" s="3" t="str">
        <f aca="false">INDEX($C$5:$C$29,MATCH(13,$G$5:$G$29,0))</f>
        <v>Procurement Management</v>
      </c>
      <c r="D47" s="4" t="n">
        <f aca="false">INDEX($F$5:$F$29,MATCH(13,$G$5:$G$29,0))</f>
        <v>0.550547122563492</v>
      </c>
    </row>
    <row r="48" customFormat="false" ht="15" hidden="false" customHeight="false" outlineLevel="0" collapsed="false">
      <c r="A48" s="3" t="n">
        <v>14</v>
      </c>
      <c r="B48" s="3" t="str">
        <f aca="false">INDEX($B$5:$B$29,MATCH(14,$G$5:$G$29,0))</f>
        <v>RFID</v>
      </c>
      <c r="C48" s="3" t="str">
        <f aca="false">INDEX($C$5:$C$29,MATCH(14,$G$5:$G$29,0))</f>
        <v>Inventory Management</v>
      </c>
      <c r="D48" s="4" t="n">
        <f aca="false">INDEX($F$5:$F$29,MATCH(14,$G$5:$G$29,0))</f>
        <v>0.547110537301635</v>
      </c>
    </row>
    <row r="49" customFormat="false" ht="15" hidden="false" customHeight="false" outlineLevel="0" collapsed="false">
      <c r="A49" s="3" t="n">
        <v>15</v>
      </c>
      <c r="B49" s="3" t="str">
        <f aca="false">INDEX($B$5:$B$29,MATCH(15,$G$5:$G$29,0))</f>
        <v>BIM-IoT integration</v>
      </c>
      <c r="C49" s="3" t="str">
        <f aca="false">INDEX($C$5:$C$29,MATCH(15,$G$5:$G$29,0))</f>
        <v>Supplier Management</v>
      </c>
      <c r="D49" s="4" t="n">
        <f aca="false">INDEX($F$5:$F$29,MATCH(15,$G$5:$G$29,0))</f>
        <v>0.538553779003281</v>
      </c>
    </row>
    <row r="50" customFormat="false" ht="15" hidden="false" customHeight="false" outlineLevel="0" collapsed="false">
      <c r="A50" s="3" t="n">
        <v>16</v>
      </c>
      <c r="B50" s="3" t="str">
        <f aca="false">INDEX($B$5:$B$29,MATCH(16,$G$5:$G$29,0))</f>
        <v>GPS</v>
      </c>
      <c r="C50" s="3" t="str">
        <f aca="false">INDEX($C$5:$C$29,MATCH(16,$G$5:$G$29,0))</f>
        <v>Just-in-Time</v>
      </c>
      <c r="D50" s="4" t="n">
        <f aca="false">INDEX($F$5:$F$29,MATCH(16,$G$5:$G$29,0))</f>
        <v>0.531460977032064</v>
      </c>
    </row>
    <row r="51" customFormat="false" ht="15" hidden="false" customHeight="false" outlineLevel="0" collapsed="false">
      <c r="A51" s="3" t="n">
        <v>17</v>
      </c>
      <c r="B51" s="3" t="str">
        <f aca="false">INDEX($B$5:$B$29,MATCH(17,$G$5:$G$29,0))</f>
        <v>IoT Sensors</v>
      </c>
      <c r="C51" s="3" t="str">
        <f aca="false">INDEX($C$5:$C$29,MATCH(17,$G$5:$G$29,0))</f>
        <v>Supplier Management</v>
      </c>
      <c r="D51" s="4" t="n">
        <f aca="false">INDEX($F$5:$F$29,MATCH(17,$G$5:$G$29,0))</f>
        <v>0.517300895893401</v>
      </c>
    </row>
    <row r="52" customFormat="false" ht="15" hidden="false" customHeight="false" outlineLevel="0" collapsed="false">
      <c r="A52" s="3" t="n">
        <v>18</v>
      </c>
      <c r="B52" s="3" t="str">
        <f aca="false">INDEX($B$5:$B$29,MATCH(18,$G$5:$G$29,0))</f>
        <v>BIM-IoT integration</v>
      </c>
      <c r="C52" s="3" t="str">
        <f aca="false">INDEX($C$5:$C$29,MATCH(18,$G$5:$G$29,0))</f>
        <v>Just-in-Time</v>
      </c>
      <c r="D52" s="4" t="n">
        <f aca="false">INDEX($F$5:$F$29,MATCH(18,$G$5:$G$29,0))</f>
        <v>0.504821658101886</v>
      </c>
    </row>
    <row r="53" customFormat="false" ht="15" hidden="false" customHeight="false" outlineLevel="0" collapsed="false">
      <c r="A53" s="3" t="n">
        <v>19</v>
      </c>
      <c r="B53" s="3" t="str">
        <f aca="false">INDEX($B$5:$B$29,MATCH(19,$G$5:$G$29,0))</f>
        <v>GPS</v>
      </c>
      <c r="C53" s="3" t="str">
        <f aca="false">INDEX($C$5:$C$29,MATCH(19,$G$5:$G$29,0))</f>
        <v>Procurement Management</v>
      </c>
      <c r="D53" s="4" t="n">
        <f aca="false">INDEX($F$5:$F$29,MATCH(19,$G$5:$G$29,0))</f>
        <v>0.494083199269198</v>
      </c>
    </row>
    <row r="54" customFormat="false" ht="15" hidden="false" customHeight="false" outlineLevel="0" collapsed="false">
      <c r="A54" s="3" t="n">
        <v>20</v>
      </c>
      <c r="B54" s="3" t="str">
        <f aca="false">INDEX($B$5:$B$29,MATCH(20,$G$5:$G$29,0))</f>
        <v>IoT Sensors</v>
      </c>
      <c r="C54" s="3" t="str">
        <f aca="false">INDEX($C$5:$C$29,MATCH(20,$G$5:$G$29,0))</f>
        <v>Just-in-Time</v>
      </c>
      <c r="D54" s="4" t="n">
        <f aca="false">INDEX($F$5:$F$29,MATCH(20,$G$5:$G$29,0))</f>
        <v>0.486943621897475</v>
      </c>
    </row>
    <row r="55" customFormat="false" ht="15" hidden="false" customHeight="false" outlineLevel="0" collapsed="false">
      <c r="A55" s="3" t="n">
        <v>21</v>
      </c>
      <c r="B55" s="3" t="str">
        <f aca="false">INDEX($B$5:$B$29,MATCH(21,$G$5:$G$29,0))</f>
        <v>RFID</v>
      </c>
      <c r="C55" s="3" t="str">
        <f aca="false">INDEX($C$5:$C$29,MATCH(21,$G$5:$G$29,0))</f>
        <v>Supplier Management</v>
      </c>
      <c r="D55" s="4" t="n">
        <f aca="false">INDEX($F$5:$F$29,MATCH(21,$G$5:$G$29,0))</f>
        <v>0.486169393912321</v>
      </c>
    </row>
    <row r="56" customFormat="false" ht="15" hidden="false" customHeight="false" outlineLevel="0" collapsed="false">
      <c r="A56" s="3" t="n">
        <v>22</v>
      </c>
      <c r="B56" s="3" t="str">
        <f aca="false">INDEX($B$5:$B$29,MATCH(22,$G$5:$G$29,0))</f>
        <v>BIM-IoT integration</v>
      </c>
      <c r="C56" s="3" t="str">
        <f aca="false">INDEX($C$5:$C$29,MATCH(22,$G$5:$G$29,0))</f>
        <v>Procurement Management</v>
      </c>
      <c r="D56" s="4" t="n">
        <f aca="false">INDEX($F$5:$F$29,MATCH(22,$G$5:$G$29,0))</f>
        <v>0.46592750203665</v>
      </c>
    </row>
    <row r="57" customFormat="false" ht="15" hidden="false" customHeight="false" outlineLevel="0" collapsed="false">
      <c r="A57" s="3" t="n">
        <v>23</v>
      </c>
      <c r="B57" s="3" t="str">
        <f aca="false">INDEX($B$5:$B$29,MATCH(23,$G$5:$G$29,0))</f>
        <v>RFID</v>
      </c>
      <c r="C57" s="3" t="str">
        <f aca="false">INDEX($C$5:$C$29,MATCH(23,$G$5:$G$29,0))</f>
        <v>Just-in-Time</v>
      </c>
      <c r="D57" s="4" t="n">
        <f aca="false">INDEX($F$5:$F$29,MATCH(23,$G$5:$G$29,0))</f>
        <v>0.459025866772621</v>
      </c>
    </row>
    <row r="58" customFormat="false" ht="15" hidden="false" customHeight="false" outlineLevel="0" collapsed="false">
      <c r="A58" s="3" t="n">
        <v>24</v>
      </c>
      <c r="B58" s="3" t="str">
        <f aca="false">INDEX($B$5:$B$29,MATCH(24,$G$5:$G$29,0))</f>
        <v>IoT Sensors</v>
      </c>
      <c r="C58" s="3" t="str">
        <f aca="false">INDEX($C$5:$C$29,MATCH(24,$G$5:$G$29,0))</f>
        <v>Procurement Management</v>
      </c>
      <c r="D58" s="4" t="n">
        <f aca="false">INDEX($F$5:$F$29,MATCH(24,$G$5:$G$29,0))</f>
        <v>0.454607273246925</v>
      </c>
    </row>
    <row r="59" customFormat="false" ht="15" hidden="false" customHeight="false" outlineLevel="0" collapsed="false">
      <c r="A59" s="3" t="n">
        <v>25</v>
      </c>
      <c r="B59" s="3" t="str">
        <f aca="false">INDEX($B$5:$B$29,MATCH(25,$G$5:$G$29,0))</f>
        <v>RFID</v>
      </c>
      <c r="C59" s="3" t="str">
        <f aca="false">INDEX($C$5:$C$29,MATCH(25,$G$5:$G$29,0))</f>
        <v>Procurement Management</v>
      </c>
      <c r="D59" s="4" t="n">
        <f aca="false">INDEX($F$5:$F$29,MATCH(25,$G$5:$G$29,0))</f>
        <v>0.428050760637861</v>
      </c>
    </row>
  </sheetData>
  <mergeCells count="3">
    <mergeCell ref="A1:G1"/>
    <mergeCell ref="A2:G2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2026-09-22T09:48:52Z</dcterms:created>
  <dc:creator>openpyxl</dc:creator>
  <dc:description/>
  <dc:language>en-US</dc:language>
  <cp:lastModifiedBy/>
  <dcterms:modified xsi:type="dcterms:W3CDTF">2026-09-22T09:48:52Z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